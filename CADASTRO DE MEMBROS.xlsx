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EBER\BATISTA ACOLHER\"/>
    </mc:Choice>
  </mc:AlternateContent>
  <xr:revisionPtr revIDLastSave="0" documentId="13_ncr:1_{6ECDCA1F-9C00-431B-BFAA-E8833EE74B20}" xr6:coauthVersionLast="47" xr6:coauthVersionMax="47" xr10:uidLastSave="{00000000-0000-0000-0000-000000000000}"/>
  <bookViews>
    <workbookView xWindow="-120" yWindow="-120" windowWidth="20730" windowHeight="11160" xr2:uid="{C13AAE6A-0F96-4918-AB19-6FF88144C37C}"/>
  </bookViews>
  <sheets>
    <sheet name="Membros" sheetId="1" r:id="rId1"/>
    <sheet name="GRÁFICO" sheetId="2" r:id="rId2"/>
    <sheet name="Mulheres" sheetId="5" r:id="rId3"/>
  </sheets>
  <definedNames>
    <definedName name="_xlnm._FilterDatabase" localSheetId="1" hidden="1">GRÁFICO!$Q$6:$R$23</definedName>
    <definedName name="_xlnm._FilterDatabase" localSheetId="0" hidden="1">Membros!$A$2:$L$142</definedName>
    <definedName name="_xlnm._FilterDatabase" localSheetId="2" hidden="1">Mulheres!$A$2:$L$78</definedName>
    <definedName name="_xlnm.Print_Area" localSheetId="1">GRÁFICO!$A$25:$P$69</definedName>
    <definedName name="_xlnm.Print_Area" localSheetId="0">Membros!$A$1:$L$143</definedName>
    <definedName name="_xlnm.Print_Area" localSheetId="2">Mulheres!$A$1:$L$79</definedName>
    <definedName name="E">#REF!</definedName>
    <definedName name="f">#REF!</definedName>
    <definedName name="logo">NA()</definedName>
    <definedName name="myLogo">NA()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5" l="1"/>
  <c r="L78" i="5" s="1"/>
  <c r="L12" i="2"/>
  <c r="L11" i="2"/>
  <c r="L10" i="2"/>
  <c r="L9" i="2"/>
  <c r="D18" i="2"/>
  <c r="L8" i="2"/>
  <c r="D17" i="2"/>
  <c r="L7" i="2"/>
  <c r="D16" i="2"/>
  <c r="L6" i="2"/>
  <c r="D15" i="2"/>
  <c r="H12" i="2"/>
  <c r="H11" i="2"/>
  <c r="H10" i="2"/>
  <c r="H9" i="2"/>
  <c r="C9" i="2"/>
  <c r="D12" i="2" s="1"/>
  <c r="H8" i="2"/>
  <c r="H7" i="2"/>
  <c r="D7" i="2"/>
  <c r="H6" i="2"/>
  <c r="D6" i="2"/>
  <c r="L45" i="5" l="1"/>
  <c r="L75" i="5"/>
  <c r="L71" i="5"/>
  <c r="L22" i="5"/>
  <c r="L5" i="5"/>
  <c r="L27" i="5"/>
  <c r="L34" i="5"/>
  <c r="L37" i="5"/>
  <c r="L72" i="5"/>
  <c r="L3" i="5"/>
  <c r="L7" i="5"/>
  <c r="L15" i="5"/>
  <c r="L19" i="5"/>
  <c r="L23" i="5"/>
  <c r="L25" i="5"/>
  <c r="L28" i="5"/>
  <c r="L31" i="5"/>
  <c r="L35" i="5"/>
  <c r="L38" i="5"/>
  <c r="L41" i="5"/>
  <c r="L48" i="5"/>
  <c r="L55" i="5"/>
  <c r="L58" i="5"/>
  <c r="L62" i="5"/>
  <c r="L65" i="5"/>
  <c r="L68" i="5"/>
  <c r="L69" i="5"/>
  <c r="L14" i="5"/>
  <c r="L44" i="5"/>
  <c r="L61" i="5"/>
  <c r="L76" i="5"/>
  <c r="L6" i="5"/>
  <c r="L12" i="5"/>
  <c r="L4" i="5"/>
  <c r="L8" i="5"/>
  <c r="L11" i="5"/>
  <c r="L17" i="5"/>
  <c r="L20" i="5"/>
  <c r="L26" i="5"/>
  <c r="L29" i="5"/>
  <c r="L42" i="5"/>
  <c r="L47" i="5"/>
  <c r="L50" i="5"/>
  <c r="L56" i="5"/>
  <c r="L59" i="5"/>
  <c r="L63" i="5"/>
  <c r="L64" i="5"/>
  <c r="L66" i="5"/>
  <c r="L73" i="5"/>
  <c r="L77" i="5"/>
  <c r="L10" i="5"/>
  <c r="L24" i="5"/>
  <c r="L54" i="5"/>
  <c r="L9" i="5"/>
  <c r="L13" i="5"/>
  <c r="L16" i="5"/>
  <c r="L30" i="5"/>
  <c r="L36" i="5"/>
  <c r="L40" i="5"/>
  <c r="L43" i="5"/>
  <c r="L46" i="5"/>
  <c r="L52" i="5"/>
  <c r="L60" i="5"/>
  <c r="L74" i="5"/>
  <c r="D11" i="2"/>
  <c r="D10" i="2"/>
  <c r="L1" i="1" l="1"/>
  <c r="L138" i="1" s="1"/>
  <c r="L130" i="1" l="1"/>
  <c r="L60" i="1"/>
  <c r="L28" i="1"/>
  <c r="L47" i="1"/>
  <c r="L3" i="1"/>
  <c r="L4" i="1"/>
  <c r="L81" i="1"/>
  <c r="L34" i="1"/>
  <c r="L89" i="1"/>
  <c r="L79" i="1"/>
  <c r="L137" i="1"/>
  <c r="L61" i="1"/>
  <c r="L116" i="1"/>
  <c r="L43" i="1"/>
  <c r="L100" i="1"/>
  <c r="L21" i="1"/>
  <c r="L131" i="1"/>
  <c r="L112" i="1"/>
  <c r="L94" i="1"/>
  <c r="L74" i="1"/>
  <c r="L56" i="1"/>
  <c r="L38" i="1"/>
  <c r="L17" i="1"/>
  <c r="L126" i="1"/>
  <c r="L108" i="1"/>
  <c r="L88" i="1"/>
  <c r="L70" i="1"/>
  <c r="L52" i="1"/>
  <c r="L32" i="1"/>
  <c r="L13" i="1"/>
  <c r="L142" i="1"/>
  <c r="L121" i="1"/>
  <c r="L104" i="1"/>
  <c r="L84" i="1"/>
  <c r="L48" i="1"/>
  <c r="L25" i="1"/>
  <c r="L9" i="1"/>
  <c r="L93" i="1"/>
  <c r="L141" i="1"/>
  <c r="L135" i="1"/>
  <c r="L129" i="1"/>
  <c r="L125" i="1"/>
  <c r="L120" i="1"/>
  <c r="L115" i="1"/>
  <c r="L111" i="1"/>
  <c r="L107" i="1"/>
  <c r="L92" i="1"/>
  <c r="L87" i="1"/>
  <c r="L83" i="1"/>
  <c r="L77" i="1"/>
  <c r="L73" i="1"/>
  <c r="L69" i="1"/>
  <c r="L64" i="1"/>
  <c r="L59" i="1"/>
  <c r="L55" i="1"/>
  <c r="L51" i="1"/>
  <c r="L46" i="1"/>
  <c r="L41" i="1"/>
  <c r="L37" i="1"/>
  <c r="L31" i="1"/>
  <c r="L24" i="1"/>
  <c r="L20" i="1"/>
  <c r="L16" i="1"/>
  <c r="L12" i="1"/>
  <c r="L8" i="1"/>
  <c r="L118" i="1"/>
  <c r="L140" i="1"/>
  <c r="L134" i="1"/>
  <c r="L124" i="1"/>
  <c r="L119" i="1"/>
  <c r="L114" i="1"/>
  <c r="L110" i="1"/>
  <c r="L106" i="1"/>
  <c r="L102" i="1"/>
  <c r="L98" i="1"/>
  <c r="L91" i="1"/>
  <c r="L86" i="1"/>
  <c r="L82" i="1"/>
  <c r="L76" i="1"/>
  <c r="L72" i="1"/>
  <c r="L68" i="1"/>
  <c r="L63" i="1"/>
  <c r="L58" i="1"/>
  <c r="L54" i="1"/>
  <c r="L50" i="1"/>
  <c r="L45" i="1"/>
  <c r="L40" i="1"/>
  <c r="L35" i="1"/>
  <c r="L29" i="1"/>
  <c r="L23" i="1"/>
  <c r="L19" i="1"/>
  <c r="L11" i="1"/>
  <c r="L7" i="1"/>
  <c r="L30" i="1"/>
  <c r="L139" i="1"/>
  <c r="L132" i="1"/>
  <c r="L127" i="1"/>
  <c r="L123" i="1"/>
  <c r="L117" i="1"/>
  <c r="L113" i="1"/>
  <c r="L109" i="1"/>
  <c r="L105" i="1"/>
  <c r="L101" i="1"/>
  <c r="L96" i="1"/>
  <c r="L90" i="1"/>
  <c r="L85" i="1"/>
  <c r="L80" i="1"/>
  <c r="L75" i="1"/>
  <c r="L71" i="1"/>
  <c r="L62" i="1"/>
  <c r="L57" i="1"/>
  <c r="L53" i="1"/>
  <c r="L49" i="1"/>
  <c r="L44" i="1"/>
  <c r="L39" i="1"/>
  <c r="L33" i="1"/>
  <c r="L27" i="1"/>
  <c r="L22" i="1"/>
  <c r="L18" i="1"/>
  <c r="L14" i="1"/>
  <c r="L10" i="1"/>
  <c r="L6" i="1"/>
  <c r="L5" i="1"/>
</calcChain>
</file>

<file path=xl/sharedStrings.xml><?xml version="1.0" encoding="utf-8"?>
<sst xmlns="http://schemas.openxmlformats.org/spreadsheetml/2006/main" count="1492" uniqueCount="386">
  <si>
    <t>NOME COMPLETO</t>
  </si>
  <si>
    <t>TELEFONE</t>
  </si>
  <si>
    <t>DATA NASC.</t>
  </si>
  <si>
    <t>JÁ É MEMBRO DA BATISTA ACOLHER?</t>
  </si>
  <si>
    <t>JÁ É BATIZADO NAS ÁGUAS?</t>
  </si>
  <si>
    <t>CASO NÃO SEJA MEMBRO OU BATIZADO, GOSTARIA DE FAZER PARTE DESTA COMUNIDADE COMO MEMBRO E/OU BATIZAR-SE?</t>
  </si>
  <si>
    <t>VOCÊ SERVE EM ALGUM MINISTÉRIO DA IGREJA?</t>
  </si>
  <si>
    <t>CASO SIRVA ALGUM MINISTÉRIO, QUAL?</t>
  </si>
  <si>
    <t>CASO NÃO SIRVA EM NENHUM MINISTÉRIO, TERIA O DESEJO NO CORAÇÃO DE SERVIR?</t>
  </si>
  <si>
    <t>MARQUE QUAL (IS) MINISTÉRIO (S) GOSTARIA DE SERVIR NOSSA IGREJA</t>
  </si>
  <si>
    <t>Cleber Castanha de Queiroga</t>
  </si>
  <si>
    <t>81 988739199</t>
  </si>
  <si>
    <t>SIM</t>
  </si>
  <si>
    <t>Casais</t>
  </si>
  <si>
    <t>Yasmin Lessa da Silva Farias</t>
  </si>
  <si>
    <t>Ministério infantil</t>
  </si>
  <si>
    <t>MULHERES</t>
  </si>
  <si>
    <t>Ariane Montenegro Alves Borges</t>
  </si>
  <si>
    <t>NÃO</t>
  </si>
  <si>
    <t>AÇÃO SOCIAL</t>
  </si>
  <si>
    <t>Franklin da Cruz Borges Junior</t>
  </si>
  <si>
    <t>Mônica Lúcia Ferreira Silva de Lima</t>
  </si>
  <si>
    <t>Ação Social</t>
  </si>
  <si>
    <t>Mylenna Maria Amancio Correia</t>
  </si>
  <si>
    <t>Ruhan Nicolas Montenegro Oliveira</t>
  </si>
  <si>
    <t>Transmissão</t>
  </si>
  <si>
    <t>Marcos Henrique Noé da Silva</t>
  </si>
  <si>
    <t>Juventude</t>
  </si>
  <si>
    <t>Silma Marisa Gardino Da Silva</t>
  </si>
  <si>
    <t>Departamento infantil</t>
  </si>
  <si>
    <t>INFANTIL</t>
  </si>
  <si>
    <t>Juliana Costa Pinheiro Lessa</t>
  </si>
  <si>
    <t>CASAIS</t>
  </si>
  <si>
    <t>Ingrid Oliveira</t>
  </si>
  <si>
    <t>SOCIAL MÍDIA</t>
  </si>
  <si>
    <t>Maria Luiza Tenório de Almeida</t>
  </si>
  <si>
    <t>EVENTOS</t>
  </si>
  <si>
    <t>Rosilda Alves Araújo</t>
  </si>
  <si>
    <t>Laisa karollyne Carvalho de Omena</t>
  </si>
  <si>
    <t>82 999615701</t>
  </si>
  <si>
    <t>Neivaldo Ramos Pontes</t>
  </si>
  <si>
    <t>Recepção</t>
  </si>
  <si>
    <t>HOMENS</t>
  </si>
  <si>
    <t>Nilza Simony Coutinho de Lima</t>
  </si>
  <si>
    <t>Cantina</t>
  </si>
  <si>
    <t>Marcia Caroline Freitas Borges Libardi</t>
  </si>
  <si>
    <t>Nazaré de Fátima Costa Melo</t>
  </si>
  <si>
    <t>Gerlanne Costa Alves Silva</t>
  </si>
  <si>
    <t>Alaíne Silva Pereira</t>
  </si>
  <si>
    <t>Amaury Luiz Lessa Neto</t>
  </si>
  <si>
    <t>Bruno Oliveira de Sousa</t>
  </si>
  <si>
    <t>Louvor</t>
  </si>
  <si>
    <t>Paulo Cesar Machado da Silva</t>
  </si>
  <si>
    <t>RECEPÇÃO / INTRODUÇÃO</t>
  </si>
  <si>
    <t>Wyda Eduarda Rocha Barros</t>
  </si>
  <si>
    <t>INTERCESSÃO</t>
  </si>
  <si>
    <t>Kamilla Kelly da Silva Peixoto</t>
  </si>
  <si>
    <t>82 996866976</t>
  </si>
  <si>
    <t>Weslley de Omena Santa Cruz</t>
  </si>
  <si>
    <t>Walkiria Costa Alves dos Santos</t>
  </si>
  <si>
    <t>Jackeline Cristiane da Silva</t>
  </si>
  <si>
    <t>FAMÍLIA</t>
  </si>
  <si>
    <t>Jordana Ranielle Alves Araújo de Oliveira</t>
  </si>
  <si>
    <t>Estrela Jéssica Marques de Medeiros</t>
  </si>
  <si>
    <t>82 999009043</t>
  </si>
  <si>
    <t>Larissa Maria dos Santos</t>
  </si>
  <si>
    <t>82 996831805</t>
  </si>
  <si>
    <t>Marylane Assunção de Castro Calaça</t>
  </si>
  <si>
    <t>Mario Andre Alves Pereira</t>
  </si>
  <si>
    <t>82 988025318</t>
  </si>
  <si>
    <t>NÃO, APENAS VISITANTE</t>
  </si>
  <si>
    <t>Ação social</t>
  </si>
  <si>
    <t>Angelo Oliveira da Silva</t>
  </si>
  <si>
    <t>82 988924981</t>
  </si>
  <si>
    <t>Marcos Antônio Calaça Calado</t>
  </si>
  <si>
    <t>82 996126916</t>
  </si>
  <si>
    <t>Joeelen Cristina de França Brito</t>
  </si>
  <si>
    <t>82 996136886</t>
  </si>
  <si>
    <t>Stella Mary Sarmento Vilela</t>
  </si>
  <si>
    <t>82 991454664</t>
  </si>
  <si>
    <t>Thiago Aurélio Melo dos Santos</t>
  </si>
  <si>
    <t>82 996602152</t>
  </si>
  <si>
    <t>Ellen Quintela de Almeida Emidio Duarte</t>
  </si>
  <si>
    <t>82 999272512</t>
  </si>
  <si>
    <t>Laísa Pereira da Silva</t>
  </si>
  <si>
    <t>82 993216473</t>
  </si>
  <si>
    <t>Bruno Rafael Ferreira de Melo</t>
  </si>
  <si>
    <t>82 982080342</t>
  </si>
  <si>
    <t>LOUVOR</t>
  </si>
  <si>
    <t>Elisabete Afra da Silva</t>
  </si>
  <si>
    <t>82 988436627</t>
  </si>
  <si>
    <t>Josivaldo Bento de Assis</t>
  </si>
  <si>
    <t>82 987145259</t>
  </si>
  <si>
    <t>José Ronaldo Bento de Assis</t>
  </si>
  <si>
    <t>82 999727666</t>
  </si>
  <si>
    <t>Elisa Hilário Fireman</t>
  </si>
  <si>
    <t>LOUVOR, INFANTIL</t>
  </si>
  <si>
    <t>Erika G Campos</t>
  </si>
  <si>
    <t>Bruna Rafaela P. Fernandes</t>
  </si>
  <si>
    <t>82 993292190</t>
  </si>
  <si>
    <t>AÇÃO SOCIAL, MULHERES</t>
  </si>
  <si>
    <t>Ítala Bento Mesquita</t>
  </si>
  <si>
    <t>82 993262379</t>
  </si>
  <si>
    <t>Vilma Maria de Araújo Oliveira</t>
  </si>
  <si>
    <t>82 988690647</t>
  </si>
  <si>
    <t>82 988551755</t>
  </si>
  <si>
    <t>Patrícia de Souza Menezes</t>
  </si>
  <si>
    <t>82 999219118</t>
  </si>
  <si>
    <t>Nayra Vicente S. da Silva</t>
  </si>
  <si>
    <t>82 999661617</t>
  </si>
  <si>
    <t>AÇÃO SOCIAL, MULHERES, INTERCESSÃO</t>
  </si>
  <si>
    <t>82 999816968</t>
  </si>
  <si>
    <t>Antony Miller Batista Bento de Assis</t>
  </si>
  <si>
    <t>82 987810919</t>
  </si>
  <si>
    <t>Social Mídia</t>
  </si>
  <si>
    <t>Jenice Coelho Rodrigues Cariri</t>
  </si>
  <si>
    <t>82 999992693</t>
  </si>
  <si>
    <t>Alycia Vital</t>
  </si>
  <si>
    <t>82 991268535</t>
  </si>
  <si>
    <t>Infantil</t>
  </si>
  <si>
    <t>Maria Flor Brandão Gozele</t>
  </si>
  <si>
    <t>82 999471997</t>
  </si>
  <si>
    <t>Alexia Brandão Gozele</t>
  </si>
  <si>
    <t>82 996603258</t>
  </si>
  <si>
    <t>Albany Hilana Faustino do Espírito Santo</t>
  </si>
  <si>
    <t>82 996564926</t>
  </si>
  <si>
    <t>Gabriel Caetano Marinho Araújo</t>
  </si>
  <si>
    <t>82 991790239</t>
  </si>
  <si>
    <t>Thirza de Almeida Barreto Souza</t>
  </si>
  <si>
    <t>82 996324696</t>
  </si>
  <si>
    <t>Maria Luiza Barros</t>
  </si>
  <si>
    <t>82 999097287</t>
  </si>
  <si>
    <t>Mídia / Ação Social</t>
  </si>
  <si>
    <t>LOUVOR, ADOLESCENTES</t>
  </si>
  <si>
    <t>Jadson Coutinho de Lima Filho</t>
  </si>
  <si>
    <t>82 996223794</t>
  </si>
  <si>
    <t>Fábio Henrique da Silva Brito</t>
  </si>
  <si>
    <t>82 998110174</t>
  </si>
  <si>
    <t>Som, Mesa e Transmissão</t>
  </si>
  <si>
    <t>Ricardo Antônio Genuino Barroso</t>
  </si>
  <si>
    <t>82 993228656</t>
  </si>
  <si>
    <t>Ednice Caetano Marinho Araujo</t>
  </si>
  <si>
    <t>82 999103441</t>
  </si>
  <si>
    <t>Casais, Mulheres e Família</t>
  </si>
  <si>
    <t>Victor Oliveira Protásio</t>
  </si>
  <si>
    <t>82 996105889</t>
  </si>
  <si>
    <t>Louvor, Projeção e Mídia</t>
  </si>
  <si>
    <t>Julio Cesar Sarmento Vilela de Barros</t>
  </si>
  <si>
    <t>82 999305949</t>
  </si>
  <si>
    <t>Mídia</t>
  </si>
  <si>
    <t>Juliana Sarmento Vilela</t>
  </si>
  <si>
    <t>82 996195949</t>
  </si>
  <si>
    <t>Louvor e Mulheres</t>
  </si>
  <si>
    <t>Sandro de Melo do Espírito Santo</t>
  </si>
  <si>
    <t>82 996004790</t>
  </si>
  <si>
    <t>Louvor e Adoração</t>
  </si>
  <si>
    <t>Celso Augusto Correa da Silva</t>
  </si>
  <si>
    <t>82 996086749</t>
  </si>
  <si>
    <t>Maria de Fátima e Silva</t>
  </si>
  <si>
    <t>82 999671011</t>
  </si>
  <si>
    <t>MULHERES, INTERCESSÃO</t>
  </si>
  <si>
    <t>82 996863870</t>
  </si>
  <si>
    <t>Ana Ruth de A B Souza</t>
  </si>
  <si>
    <t>82 996003765</t>
  </si>
  <si>
    <t>Recepção e Mídia</t>
  </si>
  <si>
    <t>Isis Alane Gomes Miranda</t>
  </si>
  <si>
    <t>82 993487717</t>
  </si>
  <si>
    <t>Louvor e Cantina</t>
  </si>
  <si>
    <t>Leonice Barbosa de Alcantara</t>
  </si>
  <si>
    <t>82 994249421</t>
  </si>
  <si>
    <t>Recepção e Cantina</t>
  </si>
  <si>
    <t>Jaqueline Maria da Silva</t>
  </si>
  <si>
    <t>Elton Casado Fireman</t>
  </si>
  <si>
    <t>82 999838862</t>
  </si>
  <si>
    <t>Ivo Thalisson Santos de Oliveira</t>
  </si>
  <si>
    <t>82 996266608</t>
  </si>
  <si>
    <t>Ascânio Marinho de Araujo Júnior</t>
  </si>
  <si>
    <t>82 999814433</t>
  </si>
  <si>
    <t>Financeiro, Família e Casais</t>
  </si>
  <si>
    <t>Sando Márcio Cirino</t>
  </si>
  <si>
    <t>Ana Paula Amorim</t>
  </si>
  <si>
    <t>Renata Cristina da Mota Lins Queiroga</t>
  </si>
  <si>
    <t>81 981601177</t>
  </si>
  <si>
    <t>Everaldo José da Silva</t>
  </si>
  <si>
    <t>Nº</t>
  </si>
  <si>
    <t>82 996986877</t>
  </si>
  <si>
    <t>82 996908463</t>
  </si>
  <si>
    <t>82 991904266</t>
  </si>
  <si>
    <t>Ana Carolina Tenorio de Andrade Barbosa</t>
  </si>
  <si>
    <t>82 988660608</t>
  </si>
  <si>
    <t>82 988912281</t>
  </si>
  <si>
    <t>82 988962737</t>
  </si>
  <si>
    <t>82 988817595</t>
  </si>
  <si>
    <t>82 991233663</t>
  </si>
  <si>
    <t>82 996649648</t>
  </si>
  <si>
    <t>72 988694261</t>
  </si>
  <si>
    <t>82 981778709</t>
  </si>
  <si>
    <t>82 988014895</t>
  </si>
  <si>
    <t>82 988107704</t>
  </si>
  <si>
    <t>82 988136929</t>
  </si>
  <si>
    <t>82 993318700</t>
  </si>
  <si>
    <t>82 993935501</t>
  </si>
  <si>
    <t>82 994080504</t>
  </si>
  <si>
    <t>82 994158003</t>
  </si>
  <si>
    <t>82 996244246</t>
  </si>
  <si>
    <t>82 996611010</t>
  </si>
  <si>
    <t>82 999104403</t>
  </si>
  <si>
    <t>82 999149405</t>
  </si>
  <si>
    <t>82 999214426</t>
  </si>
  <si>
    <t>82 993516611</t>
  </si>
  <si>
    <t>82 999570455</t>
  </si>
  <si>
    <t>82 987075057</t>
  </si>
  <si>
    <t>82 988407385</t>
  </si>
  <si>
    <t>82 988868356</t>
  </si>
  <si>
    <t>82 991584774</t>
  </si>
  <si>
    <t>Jose Carlos Gomes patriota Júnior</t>
  </si>
  <si>
    <t>Maria Selma Bento</t>
  </si>
  <si>
    <t xml:space="preserve">Guilherme Pietro Costa Alves dos Santos </t>
  </si>
  <si>
    <t xml:space="preserve">Hellen Aparecida Bueno Lourenço Almeida </t>
  </si>
  <si>
    <t xml:space="preserve">Mulheres, Família </t>
  </si>
  <si>
    <t>Benedito Cristovão dos Santos Júnior</t>
  </si>
  <si>
    <t>82 999335302</t>
  </si>
  <si>
    <t>82 994201662</t>
  </si>
  <si>
    <t>82 996062597</t>
  </si>
  <si>
    <t>82 988194438</t>
  </si>
  <si>
    <t>Alyeskey Almeida</t>
  </si>
  <si>
    <t xml:space="preserve">Família </t>
  </si>
  <si>
    <t>FAMÍLIA, CASAIS, HOMENS</t>
  </si>
  <si>
    <t xml:space="preserve">Ana Maria dos Santos Silva </t>
  </si>
  <si>
    <t xml:space="preserve">Cantina </t>
  </si>
  <si>
    <t>LOUVOR, MULHERES, INTERCESSÃO</t>
  </si>
  <si>
    <t>Gabriel dos Santos Costa</t>
  </si>
  <si>
    <t xml:space="preserve">Tercio Ribeiro de Souza </t>
  </si>
  <si>
    <t>82 982259873</t>
  </si>
  <si>
    <t xml:space="preserve">Pastoral </t>
  </si>
  <si>
    <t>82 987210492</t>
  </si>
  <si>
    <t>82 999737979</t>
  </si>
  <si>
    <t>82 993921427</t>
  </si>
  <si>
    <t>82 981233400</t>
  </si>
  <si>
    <t>Infantil e Família</t>
  </si>
  <si>
    <t>Casais, Família e EBD</t>
  </si>
  <si>
    <t>Mídia (Tecnologia e som)</t>
  </si>
  <si>
    <t>Secreto, Jovens e Ação Social</t>
  </si>
  <si>
    <t xml:space="preserve">José Chicuta Silva Neto </t>
  </si>
  <si>
    <t xml:space="preserve">Naama Cristina Venâncio da Silva </t>
  </si>
  <si>
    <t>Franklin Dos Santos Silva</t>
  </si>
  <si>
    <t>Bárbara Tenório</t>
  </si>
  <si>
    <t xml:space="preserve">Recepção </t>
  </si>
  <si>
    <t xml:space="preserve">Pedro Caetano Marinho Araújo </t>
  </si>
  <si>
    <t xml:space="preserve">Marcela da Mota Lins Queiroga </t>
  </si>
  <si>
    <t xml:space="preserve">Ministério infantil </t>
  </si>
  <si>
    <t>Gisele Feitosa Zuvanov Casado</t>
  </si>
  <si>
    <t xml:space="preserve">Brígida da Silva Alves Omena Santa Cruz </t>
  </si>
  <si>
    <t>82 991173777</t>
  </si>
  <si>
    <t xml:space="preserve">81 993767871 </t>
  </si>
  <si>
    <t>82 996535351</t>
  </si>
  <si>
    <t>82 991248232</t>
  </si>
  <si>
    <t>82 998123898</t>
  </si>
  <si>
    <t>81 992252278</t>
  </si>
  <si>
    <t>82 999327272</t>
  </si>
  <si>
    <t xml:space="preserve">82 991194556 </t>
  </si>
  <si>
    <t xml:space="preserve">Aliança e Louvor </t>
  </si>
  <si>
    <t>Alcides Martins da Silva Neto</t>
  </si>
  <si>
    <t>Elcio Marques de Almeida</t>
  </si>
  <si>
    <t>Bianca de Souza Tenório</t>
  </si>
  <si>
    <t>Cadais</t>
  </si>
  <si>
    <t>82 999784600</t>
  </si>
  <si>
    <t>82 993010403</t>
  </si>
  <si>
    <t>82 993080403</t>
  </si>
  <si>
    <t xml:space="preserve">Jaelson Amorim de Vasconcelos </t>
  </si>
  <si>
    <t xml:space="preserve">Alice Agra Vasconcelos </t>
  </si>
  <si>
    <t>82 999242892</t>
  </si>
  <si>
    <t>82 996582500</t>
  </si>
  <si>
    <t xml:space="preserve">Jonas Emanuel Bento Assis de Melo </t>
  </si>
  <si>
    <t xml:space="preserve">Mídia </t>
  </si>
  <si>
    <t xml:space="preserve">Wannessa Kelly Wanderley Martins Borba </t>
  </si>
  <si>
    <t>LOUVOR, EVENTOS</t>
  </si>
  <si>
    <t>Arthur Freitas Libardi</t>
  </si>
  <si>
    <t>ADOLESCENTES, HOMENS</t>
  </si>
  <si>
    <t>Luciana de Albuquerque Bastos</t>
  </si>
  <si>
    <t>82 999685658</t>
  </si>
  <si>
    <t>Jaqueline Silva de Ataíde</t>
  </si>
  <si>
    <t>82 999450084</t>
  </si>
  <si>
    <t xml:space="preserve">Maria Rosa Gomes da Silva </t>
  </si>
  <si>
    <t>82 999383844</t>
  </si>
  <si>
    <t>Marina Libardi</t>
  </si>
  <si>
    <t>82 981259191</t>
  </si>
  <si>
    <t xml:space="preserve">Cristiane Oliveira de Souza Remígio </t>
  </si>
  <si>
    <t>82 996280684</t>
  </si>
  <si>
    <t>Adolescentes</t>
  </si>
  <si>
    <t>Lucas Henrique de Souza Luz</t>
  </si>
  <si>
    <t>82 999917939</t>
  </si>
  <si>
    <t>RECEPÇÃO / INTRODUÇÃO, SOCIAL MÍDIA, TECNOLOGIA, ILUMINAÇÃO e SOM, ADOLESCENTES, AÇÃO SOCIAL, HOMENS</t>
  </si>
  <si>
    <t>Maria José Remígio Buarque</t>
  </si>
  <si>
    <t>82 999274451</t>
  </si>
  <si>
    <t>Dalton Derley Remígio Lucas</t>
  </si>
  <si>
    <t>82 996071031</t>
  </si>
  <si>
    <t>LOUVOR, TECNOLOGIA, ILUMINAÇÃO e SOM, JUVENTUDE, ADOLESCENTES</t>
  </si>
  <si>
    <t>Ricardo Costa Bitencourt</t>
  </si>
  <si>
    <t>82 996025144</t>
  </si>
  <si>
    <t>82 993158773</t>
  </si>
  <si>
    <t xml:space="preserve">Charles Andrei Balbino Alves da Silva </t>
  </si>
  <si>
    <t>82 991172361</t>
  </si>
  <si>
    <t>IDADE</t>
  </si>
  <si>
    <t>Nicolas Calazans Fireman</t>
  </si>
  <si>
    <t xml:space="preserve">Priscila Ingrid da Silva Alves </t>
  </si>
  <si>
    <t>RECEPÇÃO / INTRODUÇÃO, TECNOLOGIA, ILUMINAÇÃO e SOM</t>
  </si>
  <si>
    <t xml:space="preserve">Marcos Duarte Cavalcante </t>
  </si>
  <si>
    <t>82 991216028</t>
  </si>
  <si>
    <t>82 987274297</t>
  </si>
  <si>
    <t xml:space="preserve">Manoel Romão Neto </t>
  </si>
  <si>
    <t>Conselho fiscal.</t>
  </si>
  <si>
    <t xml:space="preserve">Davi Lucas Schinke Cavalcante Balbino </t>
  </si>
  <si>
    <t>SOCIAL MÍDIA, TECNOLOGIA, ILUMINAÇÃO e SOM</t>
  </si>
  <si>
    <t>82 993311301</t>
  </si>
  <si>
    <t>82 987180691</t>
  </si>
  <si>
    <t xml:space="preserve">Karlos Henriques Gouveia Borba </t>
  </si>
  <si>
    <t>TECNOLOGIA, ILUMINAÇÃO e SOM</t>
  </si>
  <si>
    <t>82 981023005</t>
  </si>
  <si>
    <t>ESTATÍSTICA - COMUNIDADE BATISTA ACOLHER</t>
  </si>
  <si>
    <t>CADASTRO TOTAL</t>
  </si>
  <si>
    <t>%</t>
  </si>
  <si>
    <t>FAIXA ETÁRIA</t>
  </si>
  <si>
    <t>MEMBROS</t>
  </si>
  <si>
    <t>10 a 20</t>
  </si>
  <si>
    <t>VISITANTES</t>
  </si>
  <si>
    <t>20 a 30</t>
  </si>
  <si>
    <t>30 a 40</t>
  </si>
  <si>
    <t>BATISMO</t>
  </si>
  <si>
    <t>40 a 50</t>
  </si>
  <si>
    <t>SÃO BATIZADOS</t>
  </si>
  <si>
    <t>50 a 60</t>
  </si>
  <si>
    <t>NÃO SÃO</t>
  </si>
  <si>
    <t>60+</t>
  </si>
  <si>
    <t>DESEJAM</t>
  </si>
  <si>
    <t>NÃO DATARAM</t>
  </si>
  <si>
    <t>SERVE CBA</t>
  </si>
  <si>
    <t>DESEJAM SERVIR</t>
  </si>
  <si>
    <t>SEM RESPOSTA</t>
  </si>
  <si>
    <t>GUSTAVINHO</t>
  </si>
  <si>
    <t>GUSTAVO NICOLA</t>
  </si>
  <si>
    <t>IURY TANQUE</t>
  </si>
  <si>
    <t>JEAN CLEBER</t>
  </si>
  <si>
    <t>MATHEUS SANTOS</t>
  </si>
  <si>
    <t xml:space="preserve">Juniores </t>
  </si>
  <si>
    <t>Família</t>
  </si>
  <si>
    <t>Mídia e Juventude</t>
  </si>
  <si>
    <t>Ações social</t>
  </si>
  <si>
    <t xml:space="preserve">Fernanda Raissa de A. Bastos Sousa </t>
  </si>
  <si>
    <t>Jeane da Silva Soares Monte Freitas</t>
  </si>
  <si>
    <t>Valmor Cariri dos Santos</t>
  </si>
  <si>
    <t xml:space="preserve">Julianne Dowsley de Almeida Alves </t>
  </si>
  <si>
    <t>71 992282487</t>
  </si>
  <si>
    <t xml:space="preserve">Maria Eduarda Cavalcante Suica Oliveira </t>
  </si>
  <si>
    <t xml:space="preserve">Ministério Infantil </t>
  </si>
  <si>
    <t xml:space="preserve">Edvania Ramos de Melo Bitencourt </t>
  </si>
  <si>
    <t xml:space="preserve">Vinicius de Souza Leão </t>
  </si>
  <si>
    <t xml:space="preserve">Social Mídia </t>
  </si>
  <si>
    <t>82 999970791</t>
  </si>
  <si>
    <t>82 996669218</t>
  </si>
  <si>
    <t>82 991235842</t>
  </si>
  <si>
    <t>82 999970837</t>
  </si>
  <si>
    <t>82 991929395</t>
  </si>
  <si>
    <t>82 993237887</t>
  </si>
  <si>
    <t xml:space="preserve">Maria das Dores Cariri dos Santos Silva </t>
  </si>
  <si>
    <t xml:space="preserve">Érica Renata Vilela de Morais </t>
  </si>
  <si>
    <t>Mulheres</t>
  </si>
  <si>
    <t xml:space="preserve">Rosa Maria schinke Cavalcante </t>
  </si>
  <si>
    <t>RECEPÇÃO / INTRODUÇÃO, ADOLESCENTES, MULHERES</t>
  </si>
  <si>
    <t>27 997226463</t>
  </si>
  <si>
    <t>82 988278935</t>
  </si>
  <si>
    <t>Louvor, Tecnologia e som</t>
  </si>
  <si>
    <t>82 988044977</t>
  </si>
  <si>
    <t>Caito Mariño Lopes</t>
  </si>
  <si>
    <t>81 988392900</t>
  </si>
  <si>
    <t>Fagner Antonio Ferreira Lopes</t>
  </si>
  <si>
    <t>Thais de Lima Santos</t>
  </si>
  <si>
    <t>82 999639767</t>
  </si>
  <si>
    <t>RECEPÇÃO, AÇÃO, MULHERES, INTERCESSÃO</t>
  </si>
  <si>
    <t xml:space="preserve">Rosa Maria Schinke Cavalcante </t>
  </si>
  <si>
    <t>Itamar Vidal Silva de Lima</t>
  </si>
  <si>
    <t>82 991385856</t>
  </si>
  <si>
    <t>Waneska Martins P. Cunha</t>
  </si>
  <si>
    <t>82 994049779</t>
  </si>
  <si>
    <t>CORAL</t>
  </si>
  <si>
    <t>Lízia Barobsa Fireman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</si>
</sst>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0.0%"/>
    <numFmt numFmtId="166" formatCode="_-* #,##0.0_-;\-* #,##0.0_-;_-* &quot;-&quot;??_-;_-@_-"/>
    <numFmt numFmtId="167" formatCode="_-* #,##0.000_-;\-* #,##0.000_-;_-* &quot;-&quot;??_-;_-@_-"/>
    <numFmt numFmtId="168" formatCode="0.000"/>
  </numFmts>
  <fonts count="35"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0"/>
      <color theme="1"/>
      <name val="Roboto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Roboto"/>
    </font>
    <font>
      <b/>
      <sz val="9"/>
      <color theme="1"/>
      <name val="Roboto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Roboto"/>
    </font>
    <font>
      <sz val="9"/>
      <color theme="1"/>
      <name val="Roboto"/>
    </font>
    <font>
      <sz val="12"/>
      <color rgb="FF0000CC"/>
      <name val="Roboto"/>
    </font>
    <font>
      <sz val="12"/>
      <color rgb="FFFF0000"/>
      <name val="Arial"/>
      <family val="2"/>
    </font>
    <font>
      <sz val="12"/>
      <color rgb="FF0000CC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i/>
      <sz val="18"/>
      <color rgb="FF0000FF"/>
      <name val="Arial"/>
      <family val="2"/>
    </font>
    <font>
      <b/>
      <i/>
      <sz val="12"/>
      <color indexed="8"/>
      <name val="Arial"/>
      <family val="2"/>
    </font>
    <font>
      <b/>
      <i/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&amp;quot"/>
    </font>
    <font>
      <b/>
      <sz val="12"/>
      <color rgb="FFFF0000"/>
      <name val="Arial"/>
      <family val="2"/>
    </font>
    <font>
      <b/>
      <sz val="11"/>
      <name val="Arial"/>
      <family val="2"/>
    </font>
    <font>
      <b/>
      <sz val="9"/>
      <color theme="1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1"/>
      <color theme="1"/>
      <name val="Roboto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medium">
        <color rgb="FF0000CC"/>
      </left>
      <right style="medium">
        <color rgb="FF0000CC"/>
      </right>
      <top style="medium">
        <color rgb="FF0000CC"/>
      </top>
      <bottom style="medium">
        <color rgb="FF0000CC"/>
      </bottom>
      <diagonal/>
    </border>
    <border>
      <left style="medium">
        <color rgb="FF0000CC"/>
      </left>
      <right style="medium">
        <color rgb="FF0000CC"/>
      </right>
      <top style="medium">
        <color rgb="FF0000CC"/>
      </top>
      <bottom style="thin">
        <color rgb="FF0000CC"/>
      </bottom>
      <diagonal/>
    </border>
    <border>
      <left style="medium">
        <color rgb="FF0000CC"/>
      </left>
      <right style="medium">
        <color rgb="FF0000CC"/>
      </right>
      <top style="thin">
        <color rgb="FF0000CC"/>
      </top>
      <bottom style="thin">
        <color rgb="FF0000CC"/>
      </bottom>
      <diagonal/>
    </border>
    <border>
      <left style="medium">
        <color rgb="FF0000CC"/>
      </left>
      <right style="medium">
        <color rgb="FF0000CC"/>
      </right>
      <top style="thin">
        <color rgb="FF0000CC"/>
      </top>
      <bottom style="medium">
        <color rgb="FF0000CC"/>
      </bottom>
      <diagonal/>
    </border>
    <border>
      <left style="medium">
        <color rgb="FF0000CC"/>
      </left>
      <right style="medium">
        <color rgb="FF0000CC"/>
      </right>
      <top style="thin">
        <color rgb="FF0000CC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double">
        <color rgb="FF000099"/>
      </left>
      <right/>
      <top/>
      <bottom/>
      <diagonal/>
    </border>
    <border>
      <left/>
      <right/>
      <top style="double">
        <color rgb="FF000099"/>
      </top>
      <bottom/>
      <diagonal/>
    </border>
    <border>
      <left/>
      <right style="double">
        <color rgb="FF000099"/>
      </right>
      <top style="double">
        <color rgb="FF000099"/>
      </top>
      <bottom/>
      <diagonal/>
    </border>
    <border>
      <left/>
      <right style="double">
        <color rgb="FF000099"/>
      </right>
      <top/>
      <bottom/>
      <diagonal/>
    </border>
    <border>
      <left style="double">
        <color rgb="FF000099"/>
      </left>
      <right/>
      <top/>
      <bottom style="double">
        <color rgb="FF000099"/>
      </bottom>
      <diagonal/>
    </border>
    <border>
      <left/>
      <right/>
      <top/>
      <bottom style="double">
        <color rgb="FF000099"/>
      </bottom>
      <diagonal/>
    </border>
    <border>
      <left/>
      <right style="double">
        <color rgb="FF000099"/>
      </right>
      <top/>
      <bottom style="double">
        <color rgb="FF000099"/>
      </bottom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0" borderId="0"/>
    <xf numFmtId="0" fontId="14" fillId="0" borderId="0"/>
  </cellStyleXfs>
  <cellXfs count="10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4" fontId="7" fillId="0" borderId="0" xfId="0" applyNumberFormat="1" applyFont="1"/>
    <xf numFmtId="0" fontId="9" fillId="0" borderId="2" xfId="0" applyFont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5" fillId="0" borderId="0" xfId="3" applyFont="1" applyAlignment="1">
      <alignment horizontal="center" vertical="center"/>
    </xf>
    <xf numFmtId="0" fontId="14" fillId="0" borderId="0" xfId="3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 textRotation="90" wrapText="1"/>
    </xf>
    <xf numFmtId="0" fontId="20" fillId="5" borderId="8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0" borderId="0" xfId="3" applyFont="1" applyAlignment="1">
      <alignment horizontal="center" vertical="center" textRotation="90" wrapText="1"/>
    </xf>
    <xf numFmtId="0" fontId="20" fillId="2" borderId="8" xfId="3" applyFont="1" applyFill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0" borderId="0" xfId="3" applyFont="1" applyAlignment="1">
      <alignment horizontal="center" vertical="center" textRotation="90" wrapText="1"/>
    </xf>
    <xf numFmtId="1" fontId="24" fillId="0" borderId="0" xfId="3" applyNumberFormat="1" applyFont="1" applyAlignment="1">
      <alignment horizontal="center" vertical="center"/>
    </xf>
    <xf numFmtId="0" fontId="20" fillId="0" borderId="9" xfId="4" applyFont="1" applyBorder="1" applyAlignment="1">
      <alignment horizontal="center" vertical="center"/>
    </xf>
    <xf numFmtId="0" fontId="25" fillId="0" borderId="9" xfId="3" applyFont="1" applyBorder="1" applyAlignment="1">
      <alignment horizontal="center" vertical="center"/>
    </xf>
    <xf numFmtId="165" fontId="25" fillId="0" borderId="9" xfId="2" applyNumberFormat="1" applyFont="1" applyFill="1" applyBorder="1" applyAlignment="1">
      <alignment horizontal="center" vertical="center"/>
    </xf>
    <xf numFmtId="2" fontId="26" fillId="0" borderId="0" xfId="3" applyNumberFormat="1" applyFont="1" applyAlignment="1">
      <alignment horizontal="center" vertical="center"/>
    </xf>
    <xf numFmtId="9" fontId="25" fillId="0" borderId="9" xfId="2" applyFont="1" applyFill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9" fontId="25" fillId="0" borderId="0" xfId="2" applyFont="1" applyFill="1" applyBorder="1" applyAlignment="1">
      <alignment horizontal="center" vertical="center"/>
    </xf>
    <xf numFmtId="1" fontId="14" fillId="0" borderId="0" xfId="3" applyNumberFormat="1" applyAlignment="1">
      <alignment horizontal="center" vertical="center"/>
    </xf>
    <xf numFmtId="0" fontId="20" fillId="4" borderId="0" xfId="4" applyFont="1" applyFill="1" applyAlignment="1">
      <alignment horizontal="center" vertical="center"/>
    </xf>
    <xf numFmtId="2" fontId="20" fillId="4" borderId="0" xfId="4" applyNumberFormat="1" applyFont="1" applyFill="1" applyAlignment="1">
      <alignment horizontal="center"/>
    </xf>
    <xf numFmtId="0" fontId="24" fillId="0" borderId="0" xfId="3" applyFont="1" applyAlignment="1">
      <alignment horizontal="center" vertical="center"/>
    </xf>
    <xf numFmtId="0" fontId="20" fillId="0" borderId="10" xfId="4" applyFont="1" applyBorder="1" applyAlignment="1">
      <alignment horizontal="center" vertical="center"/>
    </xf>
    <xf numFmtId="0" fontId="25" fillId="0" borderId="10" xfId="3" applyFont="1" applyBorder="1" applyAlignment="1">
      <alignment horizontal="center" vertical="center"/>
    </xf>
    <xf numFmtId="165" fontId="25" fillId="0" borderId="10" xfId="2" applyNumberFormat="1" applyFont="1" applyFill="1" applyBorder="1" applyAlignment="1">
      <alignment horizontal="center" vertical="center"/>
    </xf>
    <xf numFmtId="0" fontId="20" fillId="0" borderId="6" xfId="4" applyFont="1" applyBorder="1" applyAlignment="1">
      <alignment horizontal="center" vertical="center"/>
    </xf>
    <xf numFmtId="0" fontId="25" fillId="0" borderId="6" xfId="3" applyFont="1" applyBorder="1" applyAlignment="1">
      <alignment horizontal="center" vertical="center"/>
    </xf>
    <xf numFmtId="1" fontId="24" fillId="0" borderId="0" xfId="1" applyNumberFormat="1" applyFont="1" applyFill="1" applyBorder="1" applyAlignment="1">
      <alignment horizontal="center" vertical="center"/>
    </xf>
    <xf numFmtId="9" fontId="24" fillId="0" borderId="0" xfId="2" applyFont="1" applyFill="1" applyBorder="1" applyAlignment="1">
      <alignment horizontal="center" vertical="center"/>
    </xf>
    <xf numFmtId="0" fontId="25" fillId="0" borderId="8" xfId="3" applyFont="1" applyBorder="1" applyAlignment="1">
      <alignment horizontal="center" vertical="center"/>
    </xf>
    <xf numFmtId="0" fontId="22" fillId="0" borderId="8" xfId="3" applyFont="1" applyBorder="1" applyAlignment="1">
      <alignment horizontal="center" vertical="center" wrapText="1"/>
    </xf>
    <xf numFmtId="2" fontId="20" fillId="0" borderId="0" xfId="4" applyNumberFormat="1" applyFont="1" applyAlignment="1">
      <alignment horizontal="center"/>
    </xf>
    <xf numFmtId="2" fontId="27" fillId="0" borderId="0" xfId="3" applyNumberFormat="1" applyFont="1" applyAlignment="1">
      <alignment horizontal="center" vertical="center"/>
    </xf>
    <xf numFmtId="43" fontId="28" fillId="0" borderId="0" xfId="1" applyFont="1" applyFill="1" applyBorder="1" applyAlignment="1">
      <alignment horizontal="center" vertical="center"/>
    </xf>
    <xf numFmtId="1" fontId="24" fillId="0" borderId="10" xfId="1" applyNumberFormat="1" applyFont="1" applyFill="1" applyBorder="1" applyAlignment="1">
      <alignment horizontal="center" vertical="center"/>
    </xf>
    <xf numFmtId="166" fontId="29" fillId="0" borderId="0" xfId="1" applyNumberFormat="1" applyFont="1" applyFill="1" applyBorder="1" applyAlignment="1">
      <alignment horizontal="center" vertical="center"/>
    </xf>
    <xf numFmtId="167" fontId="30" fillId="0" borderId="0" xfId="1" applyNumberFormat="1" applyFont="1" applyFill="1" applyBorder="1" applyAlignment="1">
      <alignment horizontal="center" vertical="center"/>
    </xf>
    <xf numFmtId="0" fontId="20" fillId="6" borderId="8" xfId="3" applyFont="1" applyFill="1" applyBorder="1" applyAlignment="1">
      <alignment horizontal="center" vertical="center" wrapText="1"/>
    </xf>
    <xf numFmtId="0" fontId="20" fillId="7" borderId="8" xfId="3" applyFont="1" applyFill="1" applyBorder="1" applyAlignment="1">
      <alignment horizontal="center" vertical="center" wrapText="1"/>
    </xf>
    <xf numFmtId="0" fontId="20" fillId="4" borderId="11" xfId="4" applyFont="1" applyFill="1" applyBorder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0" fillId="4" borderId="12" xfId="4" applyFont="1" applyFill="1" applyBorder="1" applyAlignment="1">
      <alignment horizontal="center" vertical="center"/>
    </xf>
    <xf numFmtId="168" fontId="14" fillId="0" borderId="0" xfId="3" applyNumberFormat="1" applyAlignment="1">
      <alignment horizontal="center" vertical="center"/>
    </xf>
    <xf numFmtId="43" fontId="14" fillId="0" borderId="0" xfId="3" applyNumberFormat="1" applyAlignment="1">
      <alignment horizontal="center" vertical="center"/>
    </xf>
    <xf numFmtId="0" fontId="20" fillId="0" borderId="12" xfId="4" applyFont="1" applyBorder="1" applyAlignment="1">
      <alignment horizontal="center" vertical="center"/>
    </xf>
    <xf numFmtId="0" fontId="31" fillId="0" borderId="0" xfId="3" applyFont="1" applyAlignment="1">
      <alignment horizontal="center" vertical="center"/>
    </xf>
    <xf numFmtId="1" fontId="32" fillId="0" borderId="0" xfId="3" applyNumberFormat="1" applyFont="1" applyAlignment="1">
      <alignment horizontal="center" vertical="center"/>
    </xf>
    <xf numFmtId="164" fontId="32" fillId="0" borderId="0" xfId="3" applyNumberFormat="1" applyFont="1" applyAlignment="1">
      <alignment horizontal="center" vertical="center"/>
    </xf>
    <xf numFmtId="2" fontId="24" fillId="0" borderId="0" xfId="3" applyNumberFormat="1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13" xfId="3" applyBorder="1" applyAlignment="1">
      <alignment horizontal="center" vertical="center"/>
    </xf>
    <xf numFmtId="0" fontId="14" fillId="0" borderId="14" xfId="3" applyBorder="1" applyAlignment="1">
      <alignment horizontal="center" vertical="center"/>
    </xf>
    <xf numFmtId="0" fontId="14" fillId="0" borderId="15" xfId="3" applyBorder="1" applyAlignment="1">
      <alignment horizontal="center" vertical="center"/>
    </xf>
    <xf numFmtId="0" fontId="14" fillId="0" borderId="16" xfId="3" applyBorder="1" applyAlignment="1">
      <alignment horizontal="center" vertical="center"/>
    </xf>
    <xf numFmtId="2" fontId="14" fillId="0" borderId="0" xfId="3" applyNumberFormat="1" applyAlignment="1">
      <alignment horizontal="center" vertical="center"/>
    </xf>
    <xf numFmtId="0" fontId="32" fillId="0" borderId="0" xfId="4" applyFont="1" applyAlignment="1">
      <alignment horizontal="center" vertical="center"/>
    </xf>
    <xf numFmtId="0" fontId="14" fillId="0" borderId="17" xfId="3" applyBorder="1" applyAlignment="1">
      <alignment horizontal="center" vertical="center"/>
    </xf>
    <xf numFmtId="0" fontId="14" fillId="0" borderId="18" xfId="3" applyBorder="1" applyAlignment="1">
      <alignment horizontal="center" vertical="center"/>
    </xf>
    <xf numFmtId="0" fontId="14" fillId="0" borderId="19" xfId="3" applyBorder="1" applyAlignment="1">
      <alignment horizontal="center" vertical="center"/>
    </xf>
    <xf numFmtId="0" fontId="20" fillId="0" borderId="0" xfId="3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16" fillId="0" borderId="6" xfId="3" applyFont="1" applyBorder="1" applyAlignment="1">
      <alignment horizontal="center" vertical="center"/>
    </xf>
    <xf numFmtId="0" fontId="18" fillId="0" borderId="7" xfId="3" applyFont="1" applyBorder="1" applyAlignment="1">
      <alignment horizontal="center" vertical="center"/>
    </xf>
  </cellXfs>
  <cellStyles count="5">
    <cellStyle name="Normal" xfId="0" builtinId="0"/>
    <cellStyle name="Normal 2" xfId="3" xr:uid="{90B42866-29AA-4366-BD60-D2D0C6938973}"/>
    <cellStyle name="Normal 2 2 2" xfId="4" xr:uid="{DB3EBF9E-0A38-4DFE-B0F9-FD42CEEEECCE}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0000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2.2484537896714885E-2"/>
          <c:w val="0.94337194337194341"/>
          <c:h val="0.950534016627227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GRÁFICO!$E$5</c:f>
              <c:strCache>
                <c:ptCount val="1"/>
              </c:strCache>
            </c:strRef>
          </c:tx>
          <c:spPr>
            <a:solidFill>
              <a:srgbClr val="0000FF"/>
            </a:solidFill>
            <a:ln>
              <a:solidFill>
                <a:srgbClr val="000099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9A-496F-BC97-425D1FF959B5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9A-496F-BC97-425D1FF959B5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9A-496F-BC97-425D1FF959B5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9A-496F-BC97-425D1FF959B5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9A-496F-BC97-425D1FF959B5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9A-496F-BC97-425D1FF959B5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69A-496F-BC97-425D1FF959B5}"/>
              </c:ext>
            </c:extLst>
          </c:dPt>
          <c:dPt>
            <c:idx val="7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69A-496F-BC97-425D1FF959B5}"/>
              </c:ext>
            </c:extLst>
          </c:dPt>
          <c:dPt>
            <c:idx val="8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69A-496F-BC97-425D1FF959B5}"/>
              </c:ext>
            </c:extLst>
          </c:dPt>
          <c:dPt>
            <c:idx val="9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69A-496F-BC97-425D1FF959B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169A-496F-BC97-425D1FF959B5}"/>
              </c:ext>
            </c:extLst>
          </c:dPt>
          <c:dPt>
            <c:idx val="3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169A-496F-BC97-425D1FF959B5}"/>
              </c:ext>
            </c:extLst>
          </c:dPt>
          <c:dPt>
            <c:idx val="3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99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169A-496F-BC97-425D1FF959B5}"/>
              </c:ext>
            </c:extLst>
          </c:dPt>
          <c:dLbls>
            <c:dLbl>
              <c:idx val="0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69A-496F-BC97-425D1FF959B5}"/>
                </c:ext>
              </c:extLst>
            </c:dLbl>
            <c:dLbl>
              <c:idx val="1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69A-496F-BC97-425D1FF959B5}"/>
                </c:ext>
              </c:extLst>
            </c:dLbl>
            <c:dLbl>
              <c:idx val="2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69A-496F-BC97-425D1FF959B5}"/>
                </c:ext>
              </c:extLst>
            </c:dLbl>
            <c:dLbl>
              <c:idx val="3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69A-496F-BC97-425D1FF959B5}"/>
                </c:ext>
              </c:extLst>
            </c:dLbl>
            <c:dLbl>
              <c:idx val="4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169A-496F-BC97-425D1FF959B5}"/>
                </c:ext>
              </c:extLst>
            </c:dLbl>
            <c:dLbl>
              <c:idx val="5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69A-496F-BC97-425D1FF959B5}"/>
                </c:ext>
              </c:extLst>
            </c:dLbl>
            <c:dLbl>
              <c:idx val="6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169A-496F-BC97-425D1FF959B5}"/>
                </c:ext>
              </c:extLst>
            </c:dLbl>
            <c:dLbl>
              <c:idx val="7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169A-496F-BC97-425D1FF959B5}"/>
                </c:ext>
              </c:extLst>
            </c:dLbl>
            <c:dLbl>
              <c:idx val="8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169A-496F-BC97-425D1FF959B5}"/>
                </c:ext>
              </c:extLst>
            </c:dLbl>
            <c:dLbl>
              <c:idx val="9"/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169A-496F-BC97-425D1FF959B5}"/>
                </c:ext>
              </c:extLst>
            </c:dLbl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GRÁFICO!$B$6:$B$23</c:f>
              <c:strCache>
                <c:ptCount val="13"/>
                <c:pt idx="0">
                  <c:v>MEMBROS</c:v>
                </c:pt>
                <c:pt idx="1">
                  <c:v>VISITANTES</c:v>
                </c:pt>
                <c:pt idx="3">
                  <c:v>BATISMO</c:v>
                </c:pt>
                <c:pt idx="4">
                  <c:v>SÃO BATIZADOS</c:v>
                </c:pt>
                <c:pt idx="5">
                  <c:v>NÃO SÃO</c:v>
                </c:pt>
                <c:pt idx="6">
                  <c:v>DESEJAM</c:v>
                </c:pt>
                <c:pt idx="8">
                  <c:v>SERVE CBA</c:v>
                </c:pt>
                <c:pt idx="9">
                  <c:v>DESEJAM SERVIR</c:v>
                </c:pt>
                <c:pt idx="10">
                  <c:v>SEM RESPOSTA</c:v>
                </c:pt>
                <c:pt idx="11">
                  <c:v>NÃO</c:v>
                </c:pt>
                <c:pt idx="12">
                  <c:v>SIM</c:v>
                </c:pt>
              </c:strCache>
            </c:strRef>
          </c:cat>
          <c:val>
            <c:numRef>
              <c:f>GRÁFICO!$E$6:$E$23</c:f>
              <c:numCache>
                <c:formatCode>0.00</c:formatCode>
                <c:ptCount val="18"/>
              </c:numCache>
            </c:numRef>
          </c:val>
          <c:extLst>
            <c:ext xmlns:c16="http://schemas.microsoft.com/office/drawing/2014/chart" uri="{C3380CC4-5D6E-409C-BE32-E72D297353CC}">
              <c16:uniqueId val="{00000019-169A-496F-BC97-425D1FF95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439440368"/>
        <c:axId val="1"/>
      </c:barChart>
      <c:catAx>
        <c:axId val="4394403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4394403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>
                <a:solidFill>
                  <a:schemeClr val="tx1"/>
                </a:solidFill>
              </a:rPr>
              <a:t>Média</a:t>
            </a:r>
            <a:r>
              <a:rPr lang="pt-BR" b="1" baseline="0">
                <a:solidFill>
                  <a:schemeClr val="tx1"/>
                </a:solidFill>
              </a:rPr>
              <a:t> %G </a:t>
            </a:r>
            <a:r>
              <a:rPr lang="pt-BR" b="1">
                <a:solidFill>
                  <a:schemeClr val="tx1"/>
                </a:solidFill>
              </a:rPr>
              <a:t> </a:t>
            </a:r>
          </a:p>
          <a:p>
            <a:pPr>
              <a:defRPr b="1"/>
            </a:pPr>
            <a:r>
              <a:rPr lang="pt-BR" b="1">
                <a:solidFill>
                  <a:schemeClr val="tx1"/>
                </a:solidFill>
              </a:rPr>
              <a:t>da Equipe</a:t>
            </a:r>
          </a:p>
        </c:rich>
      </c:tx>
      <c:layout>
        <c:manualLayout>
          <c:xMode val="edge"/>
          <c:yMode val="edge"/>
          <c:x val="0.37409655854086948"/>
          <c:y val="2.9368548662358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2495949456699585"/>
          <c:y val="0.30614866974227339"/>
          <c:w val="0.326332071086534"/>
          <c:h val="0.56497138298241356"/>
        </c:manualLayout>
      </c:layout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27644776"/>
        <c:axId val="627644120"/>
      </c:barChart>
      <c:catAx>
        <c:axId val="62764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7644120"/>
        <c:crosses val="autoZero"/>
        <c:auto val="1"/>
        <c:lblAlgn val="ctr"/>
        <c:lblOffset val="100"/>
        <c:noMultiLvlLbl val="0"/>
      </c:catAx>
      <c:valAx>
        <c:axId val="627644120"/>
        <c:scaling>
          <c:orientation val="minMax"/>
          <c:max val="60"/>
          <c:min val="40"/>
        </c:scaling>
        <c:delete val="1"/>
        <c:axPos val="l"/>
        <c:numFmt formatCode="0" sourceLinked="1"/>
        <c:majorTickMark val="out"/>
        <c:minorTickMark val="none"/>
        <c:tickLblPos val="nextTo"/>
        <c:crossAx val="627644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94979766325197"/>
          <c:y val="0"/>
          <c:w val="0.73857627118644065"/>
          <c:h val="1"/>
        </c:manualLayout>
      </c:layout>
      <c:ofPieChart>
        <c:ofPieType val="bar"/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secondPieSize val="75"/>
      </c:ofPieChart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2499614018835872E-2"/>
          <c:y val="0.11988445352545279"/>
          <c:w val="0.86560496114456276"/>
          <c:h val="0.5596535821844799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00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0B-4019-BF5A-A4F57F0D6C4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0B-4019-BF5A-A4F57F0D6C47}"/>
              </c:ext>
            </c:extLst>
          </c:dPt>
          <c:dLbls>
            <c:dLbl>
              <c:idx val="0"/>
              <c:layout>
                <c:manualLayout>
                  <c:x val="-0.32099325819566676"/>
                  <c:y val="-0.3010848271567457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960784313725492"/>
                      <c:h val="0.227264668795581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90B-4019-BF5A-A4F57F0D6C47}"/>
                </c:ext>
              </c:extLst>
            </c:dLbl>
            <c:dLbl>
              <c:idx val="1"/>
              <c:layout>
                <c:manualLayout>
                  <c:x val="6.5475786114970902E-2"/>
                  <c:y val="-7.035780847296492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196078431372548"/>
                      <c:h val="0.213192553080685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90B-4019-BF5A-A4F57F0D6C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GRÁFICO!$B$6:$B$7</c:f>
              <c:strCache>
                <c:ptCount val="2"/>
                <c:pt idx="0">
                  <c:v>MEMBROS</c:v>
                </c:pt>
                <c:pt idx="1">
                  <c:v>VISITANTES</c:v>
                </c:pt>
              </c:strCache>
            </c:strRef>
          </c:cat>
          <c:val>
            <c:numRef>
              <c:f>GRÁFICO!$C$6:$C$7</c:f>
              <c:numCache>
                <c:formatCode>General</c:formatCode>
                <c:ptCount val="2"/>
                <c:pt idx="0">
                  <c:v>108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0B-4019-BF5A-A4F57F0D6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9443672482116214E-2"/>
          <c:y val="0.79238643137793718"/>
          <c:w val="0.93418403581905207"/>
          <c:h val="0.165397221477372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66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169-40EE-AB12-FCFE24093A4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169-40EE-AB12-FCFE24093A48}"/>
              </c:ext>
            </c:extLst>
          </c:dPt>
          <c:dPt>
            <c:idx val="2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169-40EE-AB12-FCFE24093A48}"/>
              </c:ext>
            </c:extLst>
          </c:dPt>
          <c:dLbls>
            <c:dLbl>
              <c:idx val="0"/>
              <c:layout>
                <c:manualLayout>
                  <c:x val="2.0512820512820513E-2"/>
                  <c:y val="-0.393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69-40EE-AB12-FCFE24093A48}"/>
                </c:ext>
              </c:extLst>
            </c:dLbl>
            <c:dLbl>
              <c:idx val="1"/>
              <c:layout>
                <c:manualLayout>
                  <c:x val="2.4615384615384615E-2"/>
                  <c:y val="-0.101851851851851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69-40EE-AB12-FCFE24093A48}"/>
                </c:ext>
              </c:extLst>
            </c:dLbl>
            <c:dLbl>
              <c:idx val="2"/>
              <c:layout>
                <c:manualLayout>
                  <c:x val="3.6923076923076927E-2"/>
                  <c:y val="-7.870370370370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69-40EE-AB12-FCFE24093A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GRÁFICO!$B$10:$B$12</c:f>
              <c:strCache>
                <c:ptCount val="3"/>
                <c:pt idx="0">
                  <c:v>SÃO BATIZADOS</c:v>
                </c:pt>
                <c:pt idx="1">
                  <c:v>NÃO SÃO</c:v>
                </c:pt>
                <c:pt idx="2">
                  <c:v>DESEJAM</c:v>
                </c:pt>
              </c:strCache>
            </c:strRef>
          </c:cat>
          <c:val>
            <c:numRef>
              <c:f>GRÁFICO!$C$10:$C$12</c:f>
              <c:numCache>
                <c:formatCode>General</c:formatCode>
                <c:ptCount val="3"/>
                <c:pt idx="0">
                  <c:v>108</c:v>
                </c:pt>
                <c:pt idx="1">
                  <c:v>17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69-40EE-AB12-FCFE24093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2144280"/>
        <c:axId val="732142840"/>
        <c:axId val="0"/>
      </c:bar3DChart>
      <c:catAx>
        <c:axId val="73214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142840"/>
        <c:crosses val="autoZero"/>
        <c:auto val="1"/>
        <c:lblAlgn val="ctr"/>
        <c:lblOffset val="100"/>
        <c:noMultiLvlLbl val="0"/>
      </c:catAx>
      <c:valAx>
        <c:axId val="732142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32144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9071512800030433"/>
          <c:y val="2.8194444444444446E-2"/>
          <c:w val="0.60928487199969572"/>
          <c:h val="0.92087962962962966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E56-46B4-A0D6-91535A5A3BB8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FE56-46B4-A0D6-91535A5A3BB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FE56-46B4-A0D6-91535A5A3BB8}"/>
              </c:ext>
            </c:extLst>
          </c:dPt>
          <c:dPt>
            <c:idx val="3"/>
            <c:invertIfNegative val="0"/>
            <c:bubble3D val="0"/>
            <c:spPr>
              <a:solidFill>
                <a:srgbClr val="0066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FE56-46B4-A0D6-91535A5A3BB8}"/>
              </c:ext>
            </c:extLst>
          </c:dPt>
          <c:dLbls>
            <c:dLbl>
              <c:idx val="0"/>
              <c:layout>
                <c:manualLayout>
                  <c:x val="5.128205128205128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56-46B4-A0D6-91535A5A3BB8}"/>
                </c:ext>
              </c:extLst>
            </c:dLbl>
            <c:dLbl>
              <c:idx val="1"/>
              <c:layout>
                <c:manualLayout>
                  <c:x val="3.9886039886039781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56-46B4-A0D6-91535A5A3BB8}"/>
                </c:ext>
              </c:extLst>
            </c:dLbl>
            <c:dLbl>
              <c:idx val="2"/>
              <c:layout>
                <c:manualLayout>
                  <c:x val="1.932367149758454E-2"/>
                  <c:y val="-1.3229166666666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56-46B4-A0D6-91535A5A3BB8}"/>
                </c:ext>
              </c:extLst>
            </c:dLbl>
            <c:dLbl>
              <c:idx val="3"/>
              <c:layout>
                <c:manualLayout>
                  <c:x val="6.267806267806268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56-46B4-A0D6-91535A5A3B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GRÁFICO!$B$15:$B$18</c:f>
              <c:strCache>
                <c:ptCount val="4"/>
                <c:pt idx="0">
                  <c:v>DESEJAM SERVIR</c:v>
                </c:pt>
                <c:pt idx="1">
                  <c:v>SEM RESPOSTA</c:v>
                </c:pt>
                <c:pt idx="2">
                  <c:v>NÃO</c:v>
                </c:pt>
                <c:pt idx="3">
                  <c:v>SIM</c:v>
                </c:pt>
              </c:strCache>
            </c:strRef>
          </c:cat>
          <c:val>
            <c:numRef>
              <c:f>GRÁFICO!$C$15:$C$18</c:f>
              <c:numCache>
                <c:formatCode>General</c:formatCode>
                <c:ptCount val="4"/>
                <c:pt idx="0">
                  <c:v>33</c:v>
                </c:pt>
                <c:pt idx="1">
                  <c:v>4</c:v>
                </c:pt>
                <c:pt idx="2">
                  <c:v>52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56-46B4-A0D6-91535A5A3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32224560"/>
        <c:axId val="732227800"/>
        <c:axId val="0"/>
      </c:bar3DChart>
      <c:catAx>
        <c:axId val="73222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227800"/>
        <c:crosses val="autoZero"/>
        <c:auto val="1"/>
        <c:lblAlgn val="ctr"/>
        <c:lblOffset val="100"/>
        <c:noMultiLvlLbl val="0"/>
      </c:catAx>
      <c:valAx>
        <c:axId val="7322278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3222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rgbClr val="000099"/>
                </a:solidFill>
                <a:latin typeface="Calibri" panose="020F0502020204030204"/>
              </a:rPr>
              <a:t>FAIXA ETÁRIA MEMBROS - 108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75-4949-B018-33309DBA9D91}"/>
              </c:ext>
            </c:extLst>
          </c:dPt>
          <c:dPt>
            <c:idx val="1"/>
            <c:invertIfNegative val="0"/>
            <c:bubble3D val="0"/>
            <c:spPr>
              <a:solidFill>
                <a:srgbClr val="00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75-4949-B018-33309DBA9D9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75-4949-B018-33309DBA9D9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75-4949-B018-33309DBA9D91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E75-4949-B018-33309DBA9D91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E75-4949-B018-33309DBA9D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GRÁFICO!$F$6:$F$12</c:f>
              <c:strCache>
                <c:ptCount val="7"/>
                <c:pt idx="0">
                  <c:v>10 a 20</c:v>
                </c:pt>
                <c:pt idx="1">
                  <c:v>20 a 30</c:v>
                </c:pt>
                <c:pt idx="2">
                  <c:v>30 a 40</c:v>
                </c:pt>
                <c:pt idx="3">
                  <c:v>40 a 50</c:v>
                </c:pt>
                <c:pt idx="4">
                  <c:v>50 a 60</c:v>
                </c:pt>
                <c:pt idx="5">
                  <c:v>60+</c:v>
                </c:pt>
                <c:pt idx="6">
                  <c:v>NÃO DATARAM</c:v>
                </c:pt>
              </c:strCache>
            </c:strRef>
          </c:cat>
          <c:val>
            <c:numRef>
              <c:f>GRÁFICO!$G$6:$G$12</c:f>
              <c:numCache>
                <c:formatCode>General</c:formatCode>
                <c:ptCount val="7"/>
                <c:pt idx="0">
                  <c:v>16</c:v>
                </c:pt>
                <c:pt idx="1">
                  <c:v>13</c:v>
                </c:pt>
                <c:pt idx="2">
                  <c:v>21</c:v>
                </c:pt>
                <c:pt idx="3">
                  <c:v>28</c:v>
                </c:pt>
                <c:pt idx="4">
                  <c:v>17</c:v>
                </c:pt>
                <c:pt idx="5">
                  <c:v>9</c:v>
                </c:pt>
                <c:pt idx="6" formatCode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75-4949-B018-33309DBA9D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657420344"/>
        <c:axId val="657423224"/>
      </c:barChart>
      <c:catAx>
        <c:axId val="65742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423224"/>
        <c:crosses val="autoZero"/>
        <c:auto val="1"/>
        <c:lblAlgn val="ctr"/>
        <c:lblOffset val="100"/>
        <c:noMultiLvlLbl val="0"/>
      </c:catAx>
      <c:valAx>
        <c:axId val="657423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42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000099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baseline="0">
                <a:solidFill>
                  <a:srgbClr val="FF0000"/>
                </a:solidFill>
                <a:effectLst/>
              </a:rPr>
              <a:t>FAIXA ETÁRIA VISITANTES - 17</a:t>
            </a:r>
            <a:endParaRPr lang="pt-BR" sz="1100">
              <a:solidFill>
                <a:srgbClr val="FF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AA-4524-B764-CE096F659E8D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AA-4524-B764-CE096F659E8D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AA-4524-B764-CE096F659E8D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8AA-4524-B764-CE096F659E8D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8AA-4524-B764-CE096F659E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GRÁFICO!$J$6:$J$12</c:f>
              <c:strCache>
                <c:ptCount val="7"/>
                <c:pt idx="0">
                  <c:v>10 a 20</c:v>
                </c:pt>
                <c:pt idx="1">
                  <c:v>20 a 30</c:v>
                </c:pt>
                <c:pt idx="2">
                  <c:v>30 a 40</c:v>
                </c:pt>
                <c:pt idx="3">
                  <c:v>40 a 50</c:v>
                </c:pt>
                <c:pt idx="4">
                  <c:v>50 a 60</c:v>
                </c:pt>
                <c:pt idx="5">
                  <c:v>60+</c:v>
                </c:pt>
                <c:pt idx="6">
                  <c:v>NÃO DATARAM</c:v>
                </c:pt>
              </c:strCache>
            </c:strRef>
          </c:cat>
          <c:val>
            <c:numRef>
              <c:f>GRÁFICO!$K$6:$K$12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1</c:v>
                </c:pt>
                <c:pt idx="6" formatCode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8AA-4524-B764-CE096F659E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657440504"/>
        <c:axId val="657440864"/>
      </c:barChart>
      <c:catAx>
        <c:axId val="657440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440864"/>
        <c:crosses val="autoZero"/>
        <c:auto val="1"/>
        <c:lblAlgn val="ctr"/>
        <c:lblOffset val="100"/>
        <c:noMultiLvlLbl val="0"/>
      </c:catAx>
      <c:valAx>
        <c:axId val="657440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57440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27</xdr:row>
      <xdr:rowOff>85725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65EF7669-7C6A-499E-8462-E927D1D83315}"/>
            </a:ext>
          </a:extLst>
        </xdr:cNvPr>
        <xdr:cNvSpPr>
          <a:spLocks noChangeAspect="1" noChangeArrowheads="1"/>
        </xdr:cNvSpPr>
      </xdr:nvSpPr>
      <xdr:spPr bwMode="auto">
        <a:xfrm>
          <a:off x="1590675" y="5286375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27</xdr:row>
      <xdr:rowOff>85725</xdr:rowOff>
    </xdr:to>
    <xdr:sp macro="" textlink="">
      <xdr:nvSpPr>
        <xdr:cNvPr id="3" name="AutoShape 47">
          <a:extLst>
            <a:ext uri="{FF2B5EF4-FFF2-40B4-BE49-F238E27FC236}">
              <a16:creationId xmlns:a16="http://schemas.microsoft.com/office/drawing/2014/main" id="{AF07E178-898B-42F2-8F31-DB8FB88822CC}"/>
            </a:ext>
          </a:extLst>
        </xdr:cNvPr>
        <xdr:cNvSpPr>
          <a:spLocks noChangeAspect="1" noChangeArrowheads="1"/>
        </xdr:cNvSpPr>
      </xdr:nvSpPr>
      <xdr:spPr bwMode="auto">
        <a:xfrm>
          <a:off x="1590675" y="5286375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304800</xdr:colOff>
      <xdr:row>27</xdr:row>
      <xdr:rowOff>85725</xdr:rowOff>
    </xdr:to>
    <xdr:sp macro="" textlink="">
      <xdr:nvSpPr>
        <xdr:cNvPr id="4" name="AutoShape 48">
          <a:extLst>
            <a:ext uri="{FF2B5EF4-FFF2-40B4-BE49-F238E27FC236}">
              <a16:creationId xmlns:a16="http://schemas.microsoft.com/office/drawing/2014/main" id="{9413848E-CEEE-4E63-B6FF-51E8D5D0935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5286375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304800</xdr:colOff>
      <xdr:row>27</xdr:row>
      <xdr:rowOff>85725</xdr:rowOff>
    </xdr:to>
    <xdr:sp macro="" textlink="">
      <xdr:nvSpPr>
        <xdr:cNvPr id="5" name="AutoShape 46">
          <a:extLst>
            <a:ext uri="{FF2B5EF4-FFF2-40B4-BE49-F238E27FC236}">
              <a16:creationId xmlns:a16="http://schemas.microsoft.com/office/drawing/2014/main" id="{D6425FD5-1C94-414C-B89E-8ADBD3C68C14}"/>
            </a:ext>
          </a:extLst>
        </xdr:cNvPr>
        <xdr:cNvSpPr>
          <a:spLocks noChangeAspect="1" noChangeArrowheads="1"/>
        </xdr:cNvSpPr>
      </xdr:nvSpPr>
      <xdr:spPr bwMode="auto">
        <a:xfrm>
          <a:off x="4933950" y="5286375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304800</xdr:colOff>
      <xdr:row>27</xdr:row>
      <xdr:rowOff>85725</xdr:rowOff>
    </xdr:to>
    <xdr:sp macro="" textlink="">
      <xdr:nvSpPr>
        <xdr:cNvPr id="6" name="AutoShape 47">
          <a:extLst>
            <a:ext uri="{FF2B5EF4-FFF2-40B4-BE49-F238E27FC236}">
              <a16:creationId xmlns:a16="http://schemas.microsoft.com/office/drawing/2014/main" id="{52C6D263-F928-4A9A-A9D8-6392E704DDEF}"/>
            </a:ext>
          </a:extLst>
        </xdr:cNvPr>
        <xdr:cNvSpPr>
          <a:spLocks noChangeAspect="1" noChangeArrowheads="1"/>
        </xdr:cNvSpPr>
      </xdr:nvSpPr>
      <xdr:spPr bwMode="auto">
        <a:xfrm>
          <a:off x="4933950" y="5286375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38100</xdr:colOff>
      <xdr:row>25</xdr:row>
      <xdr:rowOff>38100</xdr:rowOff>
    </xdr:from>
    <xdr:to>
      <xdr:col>14</xdr:col>
      <xdr:colOff>419100</xdr:colOff>
      <xdr:row>67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5EEEB23-D8F4-4A60-BF24-DA1776CEBC6F}"/>
            </a:ext>
          </a:extLst>
        </xdr:cNvPr>
        <xdr:cNvSpPr/>
      </xdr:nvSpPr>
      <xdr:spPr>
        <a:xfrm>
          <a:off x="38100" y="5324475"/>
          <a:ext cx="8858250" cy="6934200"/>
        </a:xfrm>
        <a:prstGeom prst="rect">
          <a:avLst/>
        </a:prstGeom>
        <a:blipFill>
          <a:blip xmlns:r="http://schemas.openxmlformats.org/officeDocument/2006/relationships" r:embed="rId1">
            <a:lum bright="70000" contrast="-7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a:blipFill>
        <a:ln w="57150">
          <a:solidFill>
            <a:srgbClr val="00009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0</xdr:col>
      <xdr:colOff>152400</xdr:colOff>
      <xdr:row>25</xdr:row>
      <xdr:rowOff>76200</xdr:rowOff>
    </xdr:from>
    <xdr:to>
      <xdr:col>14</xdr:col>
      <xdr:colOff>361951</xdr:colOff>
      <xdr:row>31</xdr:row>
      <xdr:rowOff>133350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6CFEAB32-BE79-4CB8-BA2B-6F62E2824189}"/>
            </a:ext>
          </a:extLst>
        </xdr:cNvPr>
        <xdr:cNvSpPr txBox="1"/>
      </xdr:nvSpPr>
      <xdr:spPr>
        <a:xfrm>
          <a:off x="152400" y="5362575"/>
          <a:ext cx="8686801" cy="1038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800" b="1">
              <a:ln>
                <a:noFill/>
              </a:ln>
              <a:solidFill>
                <a:srgbClr val="000099"/>
              </a:solidFill>
              <a:latin typeface="Arial Black" panose="020B0A04020102020204" pitchFamily="34" charset="0"/>
            </a:rPr>
            <a:t>ANÁLISE ESTATÍSTICA  CBA</a:t>
          </a:r>
        </a:p>
        <a:p>
          <a:pPr algn="ctr"/>
          <a:r>
            <a:rPr lang="pt-BR" sz="1400" b="1" i="1">
              <a:ln>
                <a:noFill/>
              </a:ln>
              <a:latin typeface="Comic Sans MS" panose="030F0702030302020204" pitchFamily="66" charset="0"/>
            </a:rPr>
            <a:t>    </a:t>
          </a:r>
          <a:r>
            <a:rPr lang="pt-BR" sz="1400" b="1" i="0">
              <a:ln>
                <a:noFill/>
              </a:ln>
              <a:latin typeface="Arial Black" panose="020B0A04020102020204" pitchFamily="34" charset="0"/>
            </a:rPr>
            <a:t>CADASTRO DE MEMBROS</a:t>
          </a:r>
        </a:p>
      </xdr:txBody>
    </xdr:sp>
    <xdr:clientData/>
  </xdr:twoCellAnchor>
  <xdr:twoCellAnchor>
    <xdr:from>
      <xdr:col>0</xdr:col>
      <xdr:colOff>47625</xdr:colOff>
      <xdr:row>31</xdr:row>
      <xdr:rowOff>47625</xdr:rowOff>
    </xdr:from>
    <xdr:to>
      <xdr:col>8</xdr:col>
      <xdr:colOff>47625</xdr:colOff>
      <xdr:row>68</xdr:row>
      <xdr:rowOff>19051</xdr:rowOff>
    </xdr:to>
    <xdr:graphicFrame macro="">
      <xdr:nvGraphicFramePr>
        <xdr:cNvPr id="9" name="Gráfico 34">
          <a:extLst>
            <a:ext uri="{FF2B5EF4-FFF2-40B4-BE49-F238E27FC236}">
              <a16:creationId xmlns:a16="http://schemas.microsoft.com/office/drawing/2014/main" id="{2485E036-62B4-4BCB-AFFB-6826AA8C6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314324</xdr:colOff>
      <xdr:row>35</xdr:row>
      <xdr:rowOff>19050</xdr:rowOff>
    </xdr:from>
    <xdr:to>
      <xdr:col>10</xdr:col>
      <xdr:colOff>304800</xdr:colOff>
      <xdr:row>46</xdr:row>
      <xdr:rowOff>152399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71F0A7F-AA52-452D-A5DB-F76C3C247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552450</xdr:colOff>
      <xdr:row>44</xdr:row>
      <xdr:rowOff>28576</xdr:rowOff>
    </xdr:from>
    <xdr:to>
      <xdr:col>14</xdr:col>
      <xdr:colOff>428625</xdr:colOff>
      <xdr:row>68</xdr:row>
      <xdr:rowOff>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ED7E85B-FB83-46D9-A66D-C1F67C598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0</xdr:colOff>
      <xdr:row>70</xdr:row>
      <xdr:rowOff>0</xdr:rowOff>
    </xdr:from>
    <xdr:ext cx="304800" cy="419100"/>
    <xdr:sp macro="" textlink="">
      <xdr:nvSpPr>
        <xdr:cNvPr id="12" name="AutoShape 46">
          <a:extLst>
            <a:ext uri="{FF2B5EF4-FFF2-40B4-BE49-F238E27FC236}">
              <a16:creationId xmlns:a16="http://schemas.microsoft.com/office/drawing/2014/main" id="{51B15909-26B2-4F6F-90CF-1432A24CC6CF}"/>
            </a:ext>
          </a:extLst>
        </xdr:cNvPr>
        <xdr:cNvSpPr>
          <a:spLocks noChangeAspect="1" noChangeArrowheads="1"/>
        </xdr:cNvSpPr>
      </xdr:nvSpPr>
      <xdr:spPr bwMode="auto">
        <a:xfrm>
          <a:off x="1590675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70</xdr:row>
      <xdr:rowOff>0</xdr:rowOff>
    </xdr:from>
    <xdr:ext cx="304800" cy="419100"/>
    <xdr:sp macro="" textlink="">
      <xdr:nvSpPr>
        <xdr:cNvPr id="13" name="AutoShape 47">
          <a:extLst>
            <a:ext uri="{FF2B5EF4-FFF2-40B4-BE49-F238E27FC236}">
              <a16:creationId xmlns:a16="http://schemas.microsoft.com/office/drawing/2014/main" id="{32F1AC96-FB66-4D48-90EE-A948851AD6B3}"/>
            </a:ext>
          </a:extLst>
        </xdr:cNvPr>
        <xdr:cNvSpPr>
          <a:spLocks noChangeAspect="1" noChangeArrowheads="1"/>
        </xdr:cNvSpPr>
      </xdr:nvSpPr>
      <xdr:spPr bwMode="auto">
        <a:xfrm>
          <a:off x="1590675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70</xdr:row>
      <xdr:rowOff>0</xdr:rowOff>
    </xdr:from>
    <xdr:ext cx="304800" cy="419100"/>
    <xdr:sp macro="" textlink="">
      <xdr:nvSpPr>
        <xdr:cNvPr id="14" name="AutoShape 48">
          <a:extLst>
            <a:ext uri="{FF2B5EF4-FFF2-40B4-BE49-F238E27FC236}">
              <a16:creationId xmlns:a16="http://schemas.microsoft.com/office/drawing/2014/main" id="{A6B89430-A289-43CC-B450-15D7161D19D5}"/>
            </a:ext>
          </a:extLst>
        </xdr:cNvPr>
        <xdr:cNvSpPr>
          <a:spLocks noChangeAspect="1" noChangeArrowheads="1"/>
        </xdr:cNvSpPr>
      </xdr:nvSpPr>
      <xdr:spPr bwMode="auto">
        <a:xfrm>
          <a:off x="1590675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70</xdr:row>
      <xdr:rowOff>0</xdr:rowOff>
    </xdr:from>
    <xdr:ext cx="304800" cy="419100"/>
    <xdr:sp macro="" textlink="">
      <xdr:nvSpPr>
        <xdr:cNvPr id="15" name="AutoShape 46">
          <a:extLst>
            <a:ext uri="{FF2B5EF4-FFF2-40B4-BE49-F238E27FC236}">
              <a16:creationId xmlns:a16="http://schemas.microsoft.com/office/drawing/2014/main" id="{FDACCF2F-39A1-479A-8647-5837878D5B90}"/>
            </a:ext>
          </a:extLst>
        </xdr:cNvPr>
        <xdr:cNvSpPr>
          <a:spLocks noChangeAspect="1" noChangeArrowheads="1"/>
        </xdr:cNvSpPr>
      </xdr:nvSpPr>
      <xdr:spPr bwMode="auto">
        <a:xfrm>
          <a:off x="4933950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70</xdr:row>
      <xdr:rowOff>0</xdr:rowOff>
    </xdr:from>
    <xdr:ext cx="304800" cy="419100"/>
    <xdr:sp macro="" textlink="">
      <xdr:nvSpPr>
        <xdr:cNvPr id="16" name="AutoShape 47">
          <a:extLst>
            <a:ext uri="{FF2B5EF4-FFF2-40B4-BE49-F238E27FC236}">
              <a16:creationId xmlns:a16="http://schemas.microsoft.com/office/drawing/2014/main" id="{D20176C3-C549-48F3-BF03-75D8DE229247}"/>
            </a:ext>
          </a:extLst>
        </xdr:cNvPr>
        <xdr:cNvSpPr>
          <a:spLocks noChangeAspect="1" noChangeArrowheads="1"/>
        </xdr:cNvSpPr>
      </xdr:nvSpPr>
      <xdr:spPr bwMode="auto">
        <a:xfrm>
          <a:off x="4933950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70</xdr:row>
      <xdr:rowOff>0</xdr:rowOff>
    </xdr:from>
    <xdr:ext cx="304800" cy="419100"/>
    <xdr:sp macro="" textlink="">
      <xdr:nvSpPr>
        <xdr:cNvPr id="17" name="AutoShape 46">
          <a:extLst>
            <a:ext uri="{FF2B5EF4-FFF2-40B4-BE49-F238E27FC236}">
              <a16:creationId xmlns:a16="http://schemas.microsoft.com/office/drawing/2014/main" id="{31A324B0-49BA-4A81-9818-7C9622746D30}"/>
            </a:ext>
          </a:extLst>
        </xdr:cNvPr>
        <xdr:cNvSpPr>
          <a:spLocks noChangeAspect="1" noChangeArrowheads="1"/>
        </xdr:cNvSpPr>
      </xdr:nvSpPr>
      <xdr:spPr bwMode="auto">
        <a:xfrm>
          <a:off x="1590675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70</xdr:row>
      <xdr:rowOff>0</xdr:rowOff>
    </xdr:from>
    <xdr:ext cx="304800" cy="419100"/>
    <xdr:sp macro="" textlink="">
      <xdr:nvSpPr>
        <xdr:cNvPr id="18" name="AutoShape 47">
          <a:extLst>
            <a:ext uri="{FF2B5EF4-FFF2-40B4-BE49-F238E27FC236}">
              <a16:creationId xmlns:a16="http://schemas.microsoft.com/office/drawing/2014/main" id="{79A1D118-3600-4665-8F7F-A688CB8F087D}"/>
            </a:ext>
          </a:extLst>
        </xdr:cNvPr>
        <xdr:cNvSpPr>
          <a:spLocks noChangeAspect="1" noChangeArrowheads="1"/>
        </xdr:cNvSpPr>
      </xdr:nvSpPr>
      <xdr:spPr bwMode="auto">
        <a:xfrm>
          <a:off x="1590675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70</xdr:row>
      <xdr:rowOff>0</xdr:rowOff>
    </xdr:from>
    <xdr:ext cx="304800" cy="419100"/>
    <xdr:sp macro="" textlink="">
      <xdr:nvSpPr>
        <xdr:cNvPr id="19" name="AutoShape 48">
          <a:extLst>
            <a:ext uri="{FF2B5EF4-FFF2-40B4-BE49-F238E27FC236}">
              <a16:creationId xmlns:a16="http://schemas.microsoft.com/office/drawing/2014/main" id="{720C2A9B-FD16-4485-84BA-697F7DF6FFDA}"/>
            </a:ext>
          </a:extLst>
        </xdr:cNvPr>
        <xdr:cNvSpPr>
          <a:spLocks noChangeAspect="1" noChangeArrowheads="1"/>
        </xdr:cNvSpPr>
      </xdr:nvSpPr>
      <xdr:spPr bwMode="auto">
        <a:xfrm>
          <a:off x="1590675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70</xdr:row>
      <xdr:rowOff>0</xdr:rowOff>
    </xdr:from>
    <xdr:ext cx="304800" cy="419100"/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C51BD88C-8271-47D6-9CA6-5AE308CC5567}"/>
            </a:ext>
          </a:extLst>
        </xdr:cNvPr>
        <xdr:cNvSpPr>
          <a:spLocks noChangeAspect="1" noChangeArrowheads="1"/>
        </xdr:cNvSpPr>
      </xdr:nvSpPr>
      <xdr:spPr bwMode="auto">
        <a:xfrm>
          <a:off x="4933950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70</xdr:row>
      <xdr:rowOff>0</xdr:rowOff>
    </xdr:from>
    <xdr:ext cx="304800" cy="419100"/>
    <xdr:sp macro="" textlink="">
      <xdr:nvSpPr>
        <xdr:cNvPr id="21" name="AutoShape 47">
          <a:extLst>
            <a:ext uri="{FF2B5EF4-FFF2-40B4-BE49-F238E27FC236}">
              <a16:creationId xmlns:a16="http://schemas.microsoft.com/office/drawing/2014/main" id="{D4B9AD66-BCEC-4F15-937F-7775FDE15881}"/>
            </a:ext>
          </a:extLst>
        </xdr:cNvPr>
        <xdr:cNvSpPr>
          <a:spLocks noChangeAspect="1" noChangeArrowheads="1"/>
        </xdr:cNvSpPr>
      </xdr:nvSpPr>
      <xdr:spPr bwMode="auto">
        <a:xfrm>
          <a:off x="4933950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70</xdr:row>
      <xdr:rowOff>0</xdr:rowOff>
    </xdr:from>
    <xdr:ext cx="304800" cy="419100"/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0AC06B89-7DB5-4B13-A6D7-CE300F4973FB}"/>
            </a:ext>
          </a:extLst>
        </xdr:cNvPr>
        <xdr:cNvSpPr>
          <a:spLocks noChangeAspect="1" noChangeArrowheads="1"/>
        </xdr:cNvSpPr>
      </xdr:nvSpPr>
      <xdr:spPr bwMode="auto">
        <a:xfrm>
          <a:off x="4933950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0</xdr:colOff>
      <xdr:row>70</xdr:row>
      <xdr:rowOff>0</xdr:rowOff>
    </xdr:from>
    <xdr:ext cx="304800" cy="419100"/>
    <xdr:sp macro="" textlink="">
      <xdr:nvSpPr>
        <xdr:cNvPr id="23" name="AutoShape 47">
          <a:extLst>
            <a:ext uri="{FF2B5EF4-FFF2-40B4-BE49-F238E27FC236}">
              <a16:creationId xmlns:a16="http://schemas.microsoft.com/office/drawing/2014/main" id="{B01049EF-648C-4171-85BF-612246740E38}"/>
            </a:ext>
          </a:extLst>
        </xdr:cNvPr>
        <xdr:cNvSpPr>
          <a:spLocks noChangeAspect="1" noChangeArrowheads="1"/>
        </xdr:cNvSpPr>
      </xdr:nvSpPr>
      <xdr:spPr bwMode="auto">
        <a:xfrm>
          <a:off x="4933950" y="12534900"/>
          <a:ext cx="3048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361950</xdr:colOff>
      <xdr:row>32</xdr:row>
      <xdr:rowOff>123825</xdr:rowOff>
    </xdr:from>
    <xdr:to>
      <xdr:col>4</xdr:col>
      <xdr:colOff>180975</xdr:colOff>
      <xdr:row>37</xdr:row>
      <xdr:rowOff>152400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1CCD7DBA-B1DC-4A4F-854C-2568F3095D34}"/>
            </a:ext>
          </a:extLst>
        </xdr:cNvPr>
        <xdr:cNvSpPr txBox="1"/>
      </xdr:nvSpPr>
      <xdr:spPr>
        <a:xfrm>
          <a:off x="361950" y="6553200"/>
          <a:ext cx="230505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TOTAL CADASTRADO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125</a:t>
          </a:r>
          <a:endParaRPr lang="pt-BR" sz="1800">
            <a:effectLst/>
          </a:endParaRPr>
        </a:p>
        <a:p>
          <a:pPr algn="ctr"/>
          <a:endParaRPr lang="pt-BR" sz="1800"/>
        </a:p>
      </xdr:txBody>
    </xdr:sp>
    <xdr:clientData/>
  </xdr:twoCellAnchor>
  <xdr:twoCellAnchor>
    <xdr:from>
      <xdr:col>9</xdr:col>
      <xdr:colOff>9524</xdr:colOff>
      <xdr:row>33</xdr:row>
      <xdr:rowOff>28575</xdr:rowOff>
    </xdr:from>
    <xdr:to>
      <xdr:col>13</xdr:col>
      <xdr:colOff>9525</xdr:colOff>
      <xdr:row>46</xdr:row>
      <xdr:rowOff>133350</xdr:rowOff>
    </xdr:to>
    <xdr:graphicFrame macro="">
      <xdr:nvGraphicFramePr>
        <xdr:cNvPr id="25" name="Gráfico 36">
          <a:extLst>
            <a:ext uri="{FF2B5EF4-FFF2-40B4-BE49-F238E27FC236}">
              <a16:creationId xmlns:a16="http://schemas.microsoft.com/office/drawing/2014/main" id="{B4CF97EF-219B-484E-A84C-2F82D69CA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28575</xdr:colOff>
      <xdr:row>37</xdr:row>
      <xdr:rowOff>52387</xdr:rowOff>
    </xdr:from>
    <xdr:to>
      <xdr:col>3</xdr:col>
      <xdr:colOff>409575</xdr:colOff>
      <xdr:row>48</xdr:row>
      <xdr:rowOff>76200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F637C77C-B8EE-4A69-9F71-77B59BF94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47625</xdr:colOff>
      <xdr:row>31</xdr:row>
      <xdr:rowOff>138112</xdr:rowOff>
    </xdr:from>
    <xdr:to>
      <xdr:col>9</xdr:col>
      <xdr:colOff>695325</xdr:colOff>
      <xdr:row>48</xdr:row>
      <xdr:rowOff>128587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802B1DF2-FDE3-4269-A021-65683CB68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114300</xdr:colOff>
      <xdr:row>52</xdr:row>
      <xdr:rowOff>123826</xdr:rowOff>
    </xdr:from>
    <xdr:to>
      <xdr:col>1</xdr:col>
      <xdr:colOff>628650</xdr:colOff>
      <xdr:row>54</xdr:row>
      <xdr:rowOff>123826</xdr:rowOff>
    </xdr:to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4D2C5265-8899-4386-A4C4-E92DDDBCB8D7}"/>
            </a:ext>
          </a:extLst>
        </xdr:cNvPr>
        <xdr:cNvSpPr txBox="1"/>
      </xdr:nvSpPr>
      <xdr:spPr>
        <a:xfrm>
          <a:off x="590550" y="9791701"/>
          <a:ext cx="5143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9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86,4%</a:t>
          </a:r>
          <a:endParaRPr lang="pt-BR" sz="9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781050</xdr:colOff>
      <xdr:row>33</xdr:row>
      <xdr:rowOff>76199</xdr:rowOff>
    </xdr:from>
    <xdr:to>
      <xdr:col>14</xdr:col>
      <xdr:colOff>314325</xdr:colOff>
      <xdr:row>53</xdr:row>
      <xdr:rowOff>41549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6A409ABC-9223-4A3B-A7A5-3134B3839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161926</xdr:colOff>
      <xdr:row>52</xdr:row>
      <xdr:rowOff>9525</xdr:rowOff>
    </xdr:from>
    <xdr:to>
      <xdr:col>6</xdr:col>
      <xdr:colOff>438150</xdr:colOff>
      <xdr:row>67</xdr:row>
      <xdr:rowOff>57149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2752F98C-C157-4D2B-BD1C-77F6F8795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723900</xdr:colOff>
      <xdr:row>36</xdr:row>
      <xdr:rowOff>38100</xdr:rowOff>
    </xdr:from>
    <xdr:to>
      <xdr:col>9</xdr:col>
      <xdr:colOff>581025</xdr:colOff>
      <xdr:row>41</xdr:row>
      <xdr:rowOff>47625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29503933-AFD6-49BF-B589-953132A597F5}"/>
            </a:ext>
          </a:extLst>
        </xdr:cNvPr>
        <xdr:cNvSpPr txBox="1"/>
      </xdr:nvSpPr>
      <xdr:spPr>
        <a:xfrm>
          <a:off x="3657600" y="7115175"/>
          <a:ext cx="2305050" cy="819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BATISMO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NAS ÁGUAS</a:t>
          </a:r>
          <a:endParaRPr lang="pt-BR" sz="1800">
            <a:effectLst/>
          </a:endParaRPr>
        </a:p>
        <a:p>
          <a:pPr algn="ctr"/>
          <a:endParaRPr lang="pt-BR" sz="1800"/>
        </a:p>
      </xdr:txBody>
    </xdr:sp>
    <xdr:clientData/>
  </xdr:twoCellAnchor>
  <xdr:twoCellAnchor>
    <xdr:from>
      <xdr:col>10</xdr:col>
      <xdr:colOff>38100</xdr:colOff>
      <xdr:row>32</xdr:row>
      <xdr:rowOff>19050</xdr:rowOff>
    </xdr:from>
    <xdr:to>
      <xdr:col>14</xdr:col>
      <xdr:colOff>361950</xdr:colOff>
      <xdr:row>37</xdr:row>
      <xdr:rowOff>47625</xdr:rowOff>
    </xdr:to>
    <xdr:sp macro="" textlink="">
      <xdr:nvSpPr>
        <xdr:cNvPr id="32" name="CaixaDeTexto 31">
          <a:extLst>
            <a:ext uri="{FF2B5EF4-FFF2-40B4-BE49-F238E27FC236}">
              <a16:creationId xmlns:a16="http://schemas.microsoft.com/office/drawing/2014/main" id="{F235A2B8-CF82-419E-A8DF-BD56B9601A3F}"/>
            </a:ext>
          </a:extLst>
        </xdr:cNvPr>
        <xdr:cNvSpPr txBox="1"/>
      </xdr:nvSpPr>
      <xdr:spPr>
        <a:xfrm>
          <a:off x="6534150" y="6448425"/>
          <a:ext cx="2305050" cy="838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SERVEM NA CBA</a:t>
          </a:r>
          <a:endParaRPr lang="pt-BR" sz="1800">
            <a:effectLst/>
          </a:endParaRPr>
        </a:p>
        <a:p>
          <a:pPr algn="ctr"/>
          <a:endParaRPr lang="pt-BR" sz="1800"/>
        </a:p>
      </xdr:txBody>
    </xdr:sp>
    <xdr:clientData/>
  </xdr:twoCellAnchor>
  <xdr:twoCellAnchor>
    <xdr:from>
      <xdr:col>7</xdr:col>
      <xdr:colOff>142874</xdr:colOff>
      <xdr:row>52</xdr:row>
      <xdr:rowOff>19049</xdr:rowOff>
    </xdr:from>
    <xdr:to>
      <xdr:col>14</xdr:col>
      <xdr:colOff>314325</xdr:colOff>
      <xdr:row>67</xdr:row>
      <xdr:rowOff>76199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FB033078-74B6-44FC-B9FE-2BA337043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1D1B-64AA-45A0-824E-9C1CF7BE5979}">
  <sheetPr>
    <pageSetUpPr fitToPage="1"/>
  </sheetPr>
  <dimension ref="A1:L142"/>
  <sheetViews>
    <sheetView tabSelected="1" workbookViewId="0">
      <selection activeCell="C6" sqref="C6"/>
    </sheetView>
  </sheetViews>
  <sheetFormatPr defaultRowHeight="15"/>
  <cols>
    <col min="1" max="1" width="4.42578125" bestFit="1" customWidth="1"/>
    <col min="2" max="2" width="45.28515625" bestFit="1" customWidth="1"/>
    <col min="3" max="3" width="16.140625" bestFit="1" customWidth="1"/>
    <col min="4" max="4" width="12.7109375" customWidth="1"/>
    <col min="5" max="5" width="11.85546875" customWidth="1"/>
    <col min="6" max="6" width="13.85546875" customWidth="1"/>
    <col min="7" max="7" width="18.28515625" customWidth="1"/>
    <col min="8" max="8" width="13.140625" customWidth="1"/>
    <col min="9" max="9" width="23.42578125" customWidth="1"/>
    <col min="10" max="10" width="16.140625" customWidth="1"/>
    <col min="11" max="11" width="23.42578125" customWidth="1"/>
    <col min="12" max="12" width="9.140625" customWidth="1"/>
  </cols>
  <sheetData>
    <row r="1" spans="1:12" ht="15.75" thickBot="1">
      <c r="L1" s="11">
        <f ca="1">TODAY()</f>
        <v>46081</v>
      </c>
    </row>
    <row r="2" spans="1:12" ht="102.75" thickBot="1">
      <c r="A2" s="1" t="s">
        <v>184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9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303</v>
      </c>
    </row>
    <row r="3" spans="1:12" ht="24" customHeight="1">
      <c r="A3" s="3">
        <v>1</v>
      </c>
      <c r="B3" s="12" t="s">
        <v>48</v>
      </c>
      <c r="C3" s="12" t="s">
        <v>196</v>
      </c>
      <c r="D3" s="13">
        <v>34886</v>
      </c>
      <c r="E3" s="35" t="s">
        <v>12</v>
      </c>
      <c r="F3" s="12" t="s">
        <v>12</v>
      </c>
      <c r="G3" s="4"/>
      <c r="H3" s="27" t="s">
        <v>18</v>
      </c>
      <c r="I3" s="4"/>
      <c r="J3" s="35" t="s">
        <v>12</v>
      </c>
      <c r="K3" s="12" t="s">
        <v>19</v>
      </c>
      <c r="L3" s="14">
        <f ca="1">(L$1-D3)/365</f>
        <v>30.671232876712327</v>
      </c>
    </row>
    <row r="4" spans="1:12" ht="24" customHeight="1">
      <c r="A4" s="5">
        <v>2</v>
      </c>
      <c r="B4" s="18" t="s">
        <v>124</v>
      </c>
      <c r="C4" s="15" t="s">
        <v>125</v>
      </c>
      <c r="D4" s="16">
        <v>31994</v>
      </c>
      <c r="E4" s="30" t="s">
        <v>12</v>
      </c>
      <c r="F4" s="15" t="s">
        <v>12</v>
      </c>
      <c r="G4" s="6"/>
      <c r="H4" s="30" t="s">
        <v>12</v>
      </c>
      <c r="I4" s="15" t="s">
        <v>44</v>
      </c>
      <c r="J4" s="6"/>
      <c r="K4" s="6"/>
      <c r="L4" s="17">
        <f ca="1">(L$1-D4)/365</f>
        <v>38.594520547945208</v>
      </c>
    </row>
    <row r="5" spans="1:12" ht="24" customHeight="1">
      <c r="A5" s="5">
        <v>3</v>
      </c>
      <c r="B5" s="15" t="s">
        <v>262</v>
      </c>
      <c r="C5" s="15" t="s">
        <v>266</v>
      </c>
      <c r="D5" s="16">
        <v>26748</v>
      </c>
      <c r="E5" s="30" t="s">
        <v>12</v>
      </c>
      <c r="F5" s="15" t="s">
        <v>12</v>
      </c>
      <c r="G5" s="6"/>
      <c r="H5" s="28" t="s">
        <v>18</v>
      </c>
      <c r="I5" s="15"/>
      <c r="J5" s="34" t="s">
        <v>12</v>
      </c>
      <c r="K5" s="15"/>
      <c r="L5" s="17">
        <f ca="1">(L$1-D5)/365</f>
        <v>52.967123287671235</v>
      </c>
    </row>
    <row r="6" spans="1:12" ht="24" customHeight="1">
      <c r="A6" s="5">
        <v>4</v>
      </c>
      <c r="B6" s="15" t="s">
        <v>122</v>
      </c>
      <c r="C6" s="15" t="s">
        <v>123</v>
      </c>
      <c r="D6" s="16">
        <v>37944</v>
      </c>
      <c r="E6" s="30" t="s">
        <v>12</v>
      </c>
      <c r="F6" s="15" t="s">
        <v>12</v>
      </c>
      <c r="G6" s="6"/>
      <c r="H6" s="30" t="s">
        <v>12</v>
      </c>
      <c r="I6" s="15" t="s">
        <v>119</v>
      </c>
      <c r="J6" s="6"/>
      <c r="K6" s="6"/>
      <c r="L6" s="17">
        <f ca="1">(L$1-D6)/365</f>
        <v>22.293150684931508</v>
      </c>
    </row>
    <row r="7" spans="1:12" ht="24" customHeight="1">
      <c r="A7" s="5">
        <v>5</v>
      </c>
      <c r="B7" s="15" t="s">
        <v>270</v>
      </c>
      <c r="C7" s="15" t="s">
        <v>272</v>
      </c>
      <c r="D7" s="16">
        <v>38789</v>
      </c>
      <c r="E7" s="30" t="s">
        <v>12</v>
      </c>
      <c r="F7" s="15" t="s">
        <v>18</v>
      </c>
      <c r="G7" s="6" t="s">
        <v>12</v>
      </c>
      <c r="H7" s="28" t="s">
        <v>18</v>
      </c>
      <c r="I7" s="15"/>
      <c r="J7" s="34" t="s">
        <v>12</v>
      </c>
      <c r="K7" s="15" t="s">
        <v>30</v>
      </c>
      <c r="L7" s="17">
        <f ca="1">(L$1-D7)/365</f>
        <v>19.978082191780821</v>
      </c>
    </row>
    <row r="8" spans="1:12" ht="24" customHeight="1">
      <c r="A8" s="5">
        <v>6</v>
      </c>
      <c r="B8" s="15" t="s">
        <v>117</v>
      </c>
      <c r="C8" s="15" t="s">
        <v>118</v>
      </c>
      <c r="D8" s="16">
        <v>40586</v>
      </c>
      <c r="E8" s="30" t="s">
        <v>12</v>
      </c>
      <c r="F8" s="15" t="s">
        <v>12</v>
      </c>
      <c r="G8" s="6"/>
      <c r="H8" s="30" t="s">
        <v>12</v>
      </c>
      <c r="I8" s="15" t="s">
        <v>119</v>
      </c>
      <c r="J8" s="6"/>
      <c r="K8" s="6"/>
      <c r="L8" s="17">
        <f ca="1">(L$1-D8)/365</f>
        <v>15.054794520547945</v>
      </c>
    </row>
    <row r="9" spans="1:12" ht="24" customHeight="1">
      <c r="A9" s="5">
        <v>7</v>
      </c>
      <c r="B9" s="18" t="s">
        <v>225</v>
      </c>
      <c r="C9" s="15" t="s">
        <v>236</v>
      </c>
      <c r="D9" s="16">
        <v>28133</v>
      </c>
      <c r="E9" s="30" t="s">
        <v>12</v>
      </c>
      <c r="F9" s="15" t="s">
        <v>12</v>
      </c>
      <c r="G9" s="101" t="s">
        <v>70</v>
      </c>
      <c r="H9" s="30" t="s">
        <v>12</v>
      </c>
      <c r="I9" s="15" t="s">
        <v>226</v>
      </c>
      <c r="J9" s="6" t="s">
        <v>12</v>
      </c>
      <c r="K9" s="19" t="s">
        <v>227</v>
      </c>
      <c r="L9" s="17">
        <f ca="1">(L$1-D9)/365</f>
        <v>49.172602739726024</v>
      </c>
    </row>
    <row r="10" spans="1:12" ht="24" customHeight="1">
      <c r="A10" s="5">
        <v>8</v>
      </c>
      <c r="B10" s="18" t="s">
        <v>49</v>
      </c>
      <c r="C10" s="15" t="s">
        <v>203</v>
      </c>
      <c r="D10" s="16">
        <v>32457</v>
      </c>
      <c r="E10" s="30" t="s">
        <v>12</v>
      </c>
      <c r="F10" s="15" t="s">
        <v>12</v>
      </c>
      <c r="G10" s="6"/>
      <c r="H10" s="30" t="s">
        <v>12</v>
      </c>
      <c r="I10" s="15" t="s">
        <v>51</v>
      </c>
      <c r="J10" s="6"/>
      <c r="K10" s="6"/>
      <c r="L10" s="17">
        <f ca="1">(L$1-D10)/365</f>
        <v>37.326027397260276</v>
      </c>
    </row>
    <row r="11" spans="1:12" ht="24" customHeight="1">
      <c r="A11" s="5">
        <v>9</v>
      </c>
      <c r="B11" s="15" t="s">
        <v>188</v>
      </c>
      <c r="C11" s="15" t="s">
        <v>207</v>
      </c>
      <c r="D11" s="16">
        <v>39466</v>
      </c>
      <c r="E11" s="30" t="s">
        <v>12</v>
      </c>
      <c r="F11" s="15" t="s">
        <v>12</v>
      </c>
      <c r="G11" s="6"/>
      <c r="H11" s="28" t="s">
        <v>18</v>
      </c>
      <c r="I11" s="6"/>
      <c r="J11" s="30" t="s">
        <v>12</v>
      </c>
      <c r="K11" s="15" t="s">
        <v>34</v>
      </c>
      <c r="L11" s="17">
        <f ca="1">(L$1-D11)/365</f>
        <v>18.123287671232877</v>
      </c>
    </row>
    <row r="12" spans="1:12" ht="24" customHeight="1">
      <c r="A12" s="5">
        <v>10</v>
      </c>
      <c r="B12" s="18" t="s">
        <v>228</v>
      </c>
      <c r="C12" s="15" t="s">
        <v>237</v>
      </c>
      <c r="D12" s="16">
        <v>35645</v>
      </c>
      <c r="E12" s="30" t="s">
        <v>12</v>
      </c>
      <c r="F12" s="15" t="s">
        <v>12</v>
      </c>
      <c r="G12" s="6"/>
      <c r="H12" s="30" t="s">
        <v>12</v>
      </c>
      <c r="I12" s="15" t="s">
        <v>229</v>
      </c>
      <c r="J12" s="6"/>
      <c r="K12" s="19" t="s">
        <v>230</v>
      </c>
      <c r="L12" s="17">
        <f ca="1">(L$1-D12)/365</f>
        <v>28.591780821917808</v>
      </c>
    </row>
    <row r="13" spans="1:12" ht="24" customHeight="1">
      <c r="A13" s="5">
        <v>11</v>
      </c>
      <c r="B13" s="18" t="s">
        <v>180</v>
      </c>
      <c r="C13" s="15" t="s">
        <v>195</v>
      </c>
      <c r="D13" s="16">
        <v>27689</v>
      </c>
      <c r="E13" s="30" t="s">
        <v>12</v>
      </c>
      <c r="F13" s="15" t="s">
        <v>12</v>
      </c>
      <c r="G13" s="6"/>
      <c r="H13" s="30" t="s">
        <v>12</v>
      </c>
      <c r="I13" s="15" t="s">
        <v>44</v>
      </c>
      <c r="J13" s="6"/>
      <c r="K13" s="15" t="s">
        <v>16</v>
      </c>
      <c r="L13" s="17">
        <f ca="1">(L$1-D13)/365</f>
        <v>50.389041095890413</v>
      </c>
    </row>
    <row r="14" spans="1:12" ht="24" customHeight="1">
      <c r="A14" s="5">
        <v>12</v>
      </c>
      <c r="B14" s="15" t="s">
        <v>162</v>
      </c>
      <c r="C14" s="15" t="s">
        <v>163</v>
      </c>
      <c r="D14" s="16">
        <v>38098</v>
      </c>
      <c r="E14" s="30" t="s">
        <v>12</v>
      </c>
      <c r="F14" s="15" t="s">
        <v>12</v>
      </c>
      <c r="G14" s="6"/>
      <c r="H14" s="30" t="s">
        <v>12</v>
      </c>
      <c r="I14" s="15" t="s">
        <v>164</v>
      </c>
      <c r="J14" s="6"/>
      <c r="K14" s="6"/>
      <c r="L14" s="17">
        <f ca="1">(L$1-D14)/365</f>
        <v>21.87123287671233</v>
      </c>
    </row>
    <row r="15" spans="1:12" ht="24" customHeight="1">
      <c r="A15" s="5">
        <v>13</v>
      </c>
      <c r="B15" s="15" t="s">
        <v>72</v>
      </c>
      <c r="C15" s="15" t="s">
        <v>73</v>
      </c>
      <c r="D15" s="6"/>
      <c r="E15" s="30" t="s">
        <v>12</v>
      </c>
      <c r="F15" s="15" t="s">
        <v>12</v>
      </c>
      <c r="G15" s="6"/>
      <c r="H15" s="28" t="s">
        <v>18</v>
      </c>
      <c r="I15" s="6"/>
      <c r="J15" s="6"/>
      <c r="K15" s="6"/>
      <c r="L15" s="17"/>
    </row>
    <row r="16" spans="1:12" ht="24" customHeight="1">
      <c r="A16" s="5">
        <v>14</v>
      </c>
      <c r="B16" s="15" t="s">
        <v>112</v>
      </c>
      <c r="C16" s="15" t="s">
        <v>113</v>
      </c>
      <c r="D16" s="16">
        <v>39836</v>
      </c>
      <c r="E16" s="30" t="s">
        <v>12</v>
      </c>
      <c r="F16" s="15" t="s">
        <v>18</v>
      </c>
      <c r="G16" s="6"/>
      <c r="H16" s="30" t="s">
        <v>12</v>
      </c>
      <c r="I16" s="15" t="s">
        <v>114</v>
      </c>
      <c r="J16" s="6"/>
      <c r="K16" s="6"/>
      <c r="L16" s="17">
        <f ca="1">(L$1-D16)/365</f>
        <v>17.109589041095891</v>
      </c>
    </row>
    <row r="17" spans="1:12" ht="24" customHeight="1">
      <c r="A17" s="5">
        <v>15</v>
      </c>
      <c r="B17" s="18" t="s">
        <v>17</v>
      </c>
      <c r="C17" s="15" t="s">
        <v>105</v>
      </c>
      <c r="D17" s="16">
        <v>31336</v>
      </c>
      <c r="E17" s="30" t="s">
        <v>12</v>
      </c>
      <c r="F17" s="15" t="s">
        <v>12</v>
      </c>
      <c r="G17" s="6"/>
      <c r="H17" s="28" t="s">
        <v>18</v>
      </c>
      <c r="I17" s="6"/>
      <c r="J17" s="30" t="s">
        <v>12</v>
      </c>
      <c r="K17" s="15" t="s">
        <v>19</v>
      </c>
      <c r="L17" s="17">
        <f ca="1">(L$1-D17)/365</f>
        <v>40.397260273972606</v>
      </c>
    </row>
    <row r="18" spans="1:12" ht="24" customHeight="1">
      <c r="A18" s="5">
        <v>16</v>
      </c>
      <c r="B18" s="15" t="s">
        <v>277</v>
      </c>
      <c r="C18" s="15" t="s">
        <v>300</v>
      </c>
      <c r="D18" s="16">
        <v>39351</v>
      </c>
      <c r="E18" s="30" t="s">
        <v>12</v>
      </c>
      <c r="F18" s="15" t="s">
        <v>12</v>
      </c>
      <c r="G18" s="6"/>
      <c r="H18" s="30" t="s">
        <v>12</v>
      </c>
      <c r="I18" s="15" t="s">
        <v>149</v>
      </c>
      <c r="J18" s="6"/>
      <c r="K18" s="19" t="s">
        <v>278</v>
      </c>
      <c r="L18" s="17">
        <f ca="1">(L$1-D18)/365</f>
        <v>18.438356164383563</v>
      </c>
    </row>
    <row r="19" spans="1:12" ht="24" customHeight="1">
      <c r="A19" s="5">
        <v>17</v>
      </c>
      <c r="B19" s="18" t="s">
        <v>176</v>
      </c>
      <c r="C19" s="15" t="s">
        <v>177</v>
      </c>
      <c r="D19" s="16">
        <v>25207</v>
      </c>
      <c r="E19" s="30" t="s">
        <v>12</v>
      </c>
      <c r="F19" s="15" t="s">
        <v>12</v>
      </c>
      <c r="G19" s="6"/>
      <c r="H19" s="30" t="s">
        <v>12</v>
      </c>
      <c r="I19" s="19" t="s">
        <v>178</v>
      </c>
      <c r="J19" s="6"/>
      <c r="K19" s="6"/>
      <c r="L19" s="17">
        <f ca="1">(L$1-D19)/365</f>
        <v>57.18904109589041</v>
      </c>
    </row>
    <row r="20" spans="1:12" ht="24" customHeight="1">
      <c r="A20" s="5">
        <v>18</v>
      </c>
      <c r="B20" s="15" t="s">
        <v>246</v>
      </c>
      <c r="C20" s="15" t="s">
        <v>256</v>
      </c>
      <c r="D20" s="16">
        <v>29796</v>
      </c>
      <c r="E20" s="30" t="s">
        <v>12</v>
      </c>
      <c r="F20" s="15" t="s">
        <v>12</v>
      </c>
      <c r="G20" s="6"/>
      <c r="H20" s="30" t="s">
        <v>12</v>
      </c>
      <c r="I20" s="15" t="s">
        <v>247</v>
      </c>
      <c r="J20" s="6"/>
      <c r="K20" s="15"/>
      <c r="L20" s="17">
        <f ca="1">(L$1-D20)/365</f>
        <v>44.61643835616438</v>
      </c>
    </row>
    <row r="21" spans="1:12" ht="24" customHeight="1">
      <c r="A21" s="5">
        <v>19</v>
      </c>
      <c r="B21" s="18" t="s">
        <v>220</v>
      </c>
      <c r="C21" s="15" t="s">
        <v>221</v>
      </c>
      <c r="D21" s="16">
        <v>29881</v>
      </c>
      <c r="E21" s="30" t="s">
        <v>12</v>
      </c>
      <c r="F21" s="15" t="s">
        <v>12</v>
      </c>
      <c r="G21" s="6"/>
      <c r="H21" s="30" t="s">
        <v>12</v>
      </c>
      <c r="I21" s="15" t="s">
        <v>226</v>
      </c>
      <c r="J21" s="6"/>
      <c r="K21" s="15"/>
      <c r="L21" s="17">
        <f ca="1">(L$1-D21)/365</f>
        <v>44.38356164383562</v>
      </c>
    </row>
    <row r="22" spans="1:12" ht="24" customHeight="1">
      <c r="A22" s="5">
        <v>20</v>
      </c>
      <c r="B22" s="15" t="s">
        <v>264</v>
      </c>
      <c r="C22" s="15" t="s">
        <v>268</v>
      </c>
      <c r="D22" s="16">
        <v>28007</v>
      </c>
      <c r="E22" s="30" t="s">
        <v>12</v>
      </c>
      <c r="F22" s="15" t="s">
        <v>12</v>
      </c>
      <c r="G22" s="6"/>
      <c r="H22" s="30" t="s">
        <v>12</v>
      </c>
      <c r="I22" s="15" t="s">
        <v>265</v>
      </c>
      <c r="J22" s="6"/>
      <c r="K22" s="15"/>
      <c r="L22" s="17">
        <f ca="1">(L$1-D22)/365</f>
        <v>49.517808219178079</v>
      </c>
    </row>
    <row r="23" spans="1:12" ht="24" customHeight="1">
      <c r="A23" s="5">
        <v>21</v>
      </c>
      <c r="B23" s="18" t="s">
        <v>252</v>
      </c>
      <c r="C23" s="15" t="s">
        <v>260</v>
      </c>
      <c r="D23" s="16">
        <v>27209</v>
      </c>
      <c r="E23" s="30" t="s">
        <v>12</v>
      </c>
      <c r="F23" s="15" t="s">
        <v>12</v>
      </c>
      <c r="G23" s="6"/>
      <c r="H23" s="30" t="s">
        <v>12</v>
      </c>
      <c r="I23" s="15" t="s">
        <v>226</v>
      </c>
      <c r="J23" s="6"/>
      <c r="K23" s="15"/>
      <c r="L23" s="17">
        <f ca="1">(L$1-D23)/365</f>
        <v>51.704109589041096</v>
      </c>
    </row>
    <row r="24" spans="1:12" ht="24" customHeight="1">
      <c r="A24" s="5">
        <v>22</v>
      </c>
      <c r="B24" s="15" t="s">
        <v>98</v>
      </c>
      <c r="C24" s="15" t="s">
        <v>99</v>
      </c>
      <c r="D24" s="16">
        <v>30377</v>
      </c>
      <c r="E24" s="30" t="s">
        <v>12</v>
      </c>
      <c r="F24" s="15" t="s">
        <v>12</v>
      </c>
      <c r="G24" s="6"/>
      <c r="H24" s="28" t="s">
        <v>18</v>
      </c>
      <c r="I24" s="6"/>
      <c r="J24" s="30" t="s">
        <v>12</v>
      </c>
      <c r="K24" s="19" t="s">
        <v>100</v>
      </c>
      <c r="L24" s="17">
        <f ca="1">(L$1-D24)/365</f>
        <v>43.024657534246572</v>
      </c>
    </row>
    <row r="25" spans="1:12" ht="24" customHeight="1">
      <c r="A25" s="5">
        <v>23</v>
      </c>
      <c r="B25" s="18" t="s">
        <v>50</v>
      </c>
      <c r="C25" s="15" t="s">
        <v>224</v>
      </c>
      <c r="D25" s="16">
        <v>32023</v>
      </c>
      <c r="E25" s="30" t="s">
        <v>12</v>
      </c>
      <c r="F25" s="15" t="s">
        <v>12</v>
      </c>
      <c r="G25" s="6"/>
      <c r="H25" s="30" t="s">
        <v>12</v>
      </c>
      <c r="I25" s="15" t="s">
        <v>51</v>
      </c>
      <c r="J25" s="6"/>
      <c r="K25" s="6"/>
      <c r="L25" s="17">
        <f ca="1">(L$1-D25)/365</f>
        <v>38.515068493150686</v>
      </c>
    </row>
    <row r="26" spans="1:12" ht="24" customHeight="1">
      <c r="A26" s="5">
        <v>24</v>
      </c>
      <c r="B26" s="28" t="s">
        <v>86</v>
      </c>
      <c r="C26" s="15" t="s">
        <v>87</v>
      </c>
      <c r="D26" s="16">
        <v>33772</v>
      </c>
      <c r="E26" s="30" t="s">
        <v>12</v>
      </c>
      <c r="F26" s="15" t="s">
        <v>12</v>
      </c>
      <c r="G26" s="6"/>
      <c r="H26" s="30" t="s">
        <v>12</v>
      </c>
      <c r="I26" s="33" t="s">
        <v>371</v>
      </c>
      <c r="J26" s="6"/>
      <c r="K26" s="15"/>
      <c r="L26" s="17"/>
    </row>
    <row r="27" spans="1:12" ht="24" customHeight="1">
      <c r="A27" s="5">
        <v>25</v>
      </c>
      <c r="B27" s="15" t="s">
        <v>86</v>
      </c>
      <c r="C27" s="15" t="s">
        <v>87</v>
      </c>
      <c r="D27" s="16">
        <v>33772</v>
      </c>
      <c r="E27" s="30" t="s">
        <v>12</v>
      </c>
      <c r="F27" s="15" t="s">
        <v>12</v>
      </c>
      <c r="G27" s="6"/>
      <c r="H27" s="28" t="s">
        <v>18</v>
      </c>
      <c r="I27" s="6"/>
      <c r="J27" s="30" t="s">
        <v>12</v>
      </c>
      <c r="K27" s="15" t="s">
        <v>88</v>
      </c>
      <c r="L27" s="17">
        <f ca="1">(L$1-D27)/365</f>
        <v>33.723287671232875</v>
      </c>
    </row>
    <row r="28" spans="1:12" ht="24" customHeight="1">
      <c r="A28" s="5">
        <v>26</v>
      </c>
      <c r="B28" s="15" t="s">
        <v>373</v>
      </c>
      <c r="C28" s="15" t="s">
        <v>374</v>
      </c>
      <c r="D28" s="16">
        <v>45134</v>
      </c>
      <c r="E28" s="28" t="s">
        <v>18</v>
      </c>
      <c r="F28" s="28" t="s">
        <v>18</v>
      </c>
      <c r="G28" s="6"/>
      <c r="H28" s="28" t="s">
        <v>18</v>
      </c>
      <c r="I28" s="15"/>
      <c r="J28" s="6"/>
      <c r="K28" s="15"/>
      <c r="L28" s="17">
        <f ca="1">(L$1-D28)/365</f>
        <v>2.5945205479452054</v>
      </c>
    </row>
    <row r="29" spans="1:12" ht="24" customHeight="1">
      <c r="A29" s="5">
        <v>27</v>
      </c>
      <c r="B29" s="15" t="s">
        <v>156</v>
      </c>
      <c r="C29" s="15" t="s">
        <v>157</v>
      </c>
      <c r="D29" s="16">
        <v>31380</v>
      </c>
      <c r="E29" s="30" t="s">
        <v>12</v>
      </c>
      <c r="F29" s="15" t="s">
        <v>12</v>
      </c>
      <c r="G29" s="6"/>
      <c r="H29" s="30" t="s">
        <v>12</v>
      </c>
      <c r="I29" s="15" t="s">
        <v>51</v>
      </c>
      <c r="J29" s="6"/>
      <c r="K29" s="6"/>
      <c r="L29" s="17">
        <f ca="1">(L$1-D29)/365</f>
        <v>40.276712328767125</v>
      </c>
    </row>
    <row r="30" spans="1:12" ht="24" customHeight="1">
      <c r="A30" s="5">
        <v>28</v>
      </c>
      <c r="B30" s="15" t="s">
        <v>301</v>
      </c>
      <c r="C30" s="15" t="s">
        <v>302</v>
      </c>
      <c r="D30" s="16">
        <v>38891</v>
      </c>
      <c r="E30" s="30" t="s">
        <v>12</v>
      </c>
      <c r="F30" s="15" t="s">
        <v>12</v>
      </c>
      <c r="G30" s="6"/>
      <c r="H30" s="30" t="s">
        <v>12</v>
      </c>
      <c r="I30" s="15" t="s">
        <v>344</v>
      </c>
      <c r="J30" s="6"/>
      <c r="K30" s="15"/>
      <c r="L30" s="17">
        <f ca="1">(L$1-D30)/365</f>
        <v>19.698630136986303</v>
      </c>
    </row>
    <row r="31" spans="1:12" ht="24" customHeight="1">
      <c r="A31" s="5">
        <v>29</v>
      </c>
      <c r="B31" s="18" t="s">
        <v>10</v>
      </c>
      <c r="C31" s="15" t="s">
        <v>11</v>
      </c>
      <c r="D31" s="16">
        <v>28159</v>
      </c>
      <c r="E31" s="30" t="s">
        <v>12</v>
      </c>
      <c r="F31" s="15" t="s">
        <v>12</v>
      </c>
      <c r="G31" s="6"/>
      <c r="H31" s="30" t="s">
        <v>12</v>
      </c>
      <c r="I31" s="15" t="s">
        <v>13</v>
      </c>
      <c r="J31" s="6"/>
      <c r="K31" s="6"/>
      <c r="L31" s="17">
        <f ca="1">(L$1-D31)/365</f>
        <v>49.101369863013701</v>
      </c>
    </row>
    <row r="32" spans="1:12" ht="24" customHeight="1">
      <c r="A32" s="5">
        <v>30</v>
      </c>
      <c r="B32" s="15" t="s">
        <v>287</v>
      </c>
      <c r="C32" s="15" t="s">
        <v>288</v>
      </c>
      <c r="D32" s="16">
        <v>34033</v>
      </c>
      <c r="E32" s="30" t="s">
        <v>12</v>
      </c>
      <c r="F32" s="15" t="s">
        <v>12</v>
      </c>
      <c r="G32" s="6"/>
      <c r="H32" s="30" t="s">
        <v>12</v>
      </c>
      <c r="I32" s="15" t="s">
        <v>289</v>
      </c>
      <c r="J32" s="6"/>
      <c r="K32" s="15"/>
      <c r="L32" s="17">
        <f ca="1">(L$1-D32)/365</f>
        <v>33.008219178082193</v>
      </c>
    </row>
    <row r="33" spans="1:12" ht="24" customHeight="1">
      <c r="A33" s="5">
        <v>31</v>
      </c>
      <c r="B33" s="15" t="s">
        <v>295</v>
      </c>
      <c r="C33" s="15" t="s">
        <v>296</v>
      </c>
      <c r="D33" s="16">
        <v>32307</v>
      </c>
      <c r="E33" s="30" t="s">
        <v>12</v>
      </c>
      <c r="F33" s="15" t="s">
        <v>12</v>
      </c>
      <c r="G33" s="6"/>
      <c r="H33" s="30" t="s">
        <v>12</v>
      </c>
      <c r="I33" s="15" t="s">
        <v>289</v>
      </c>
      <c r="J33" s="6" t="s">
        <v>12</v>
      </c>
      <c r="K33" s="19" t="s">
        <v>297</v>
      </c>
      <c r="L33" s="17">
        <f ca="1">(L$1-D33)/365</f>
        <v>37.736986301369861</v>
      </c>
    </row>
    <row r="34" spans="1:12" ht="24" customHeight="1">
      <c r="A34" s="5">
        <v>32</v>
      </c>
      <c r="B34" s="15" t="s">
        <v>312</v>
      </c>
      <c r="C34" s="15" t="s">
        <v>315</v>
      </c>
      <c r="D34" s="16">
        <v>40994</v>
      </c>
      <c r="E34" s="28" t="s">
        <v>18</v>
      </c>
      <c r="F34" s="15" t="s">
        <v>18</v>
      </c>
      <c r="G34" s="6" t="s">
        <v>12</v>
      </c>
      <c r="H34" s="28" t="s">
        <v>18</v>
      </c>
      <c r="I34" s="15"/>
      <c r="J34" s="30" t="s">
        <v>12</v>
      </c>
      <c r="K34" s="19" t="s">
        <v>313</v>
      </c>
      <c r="L34" s="17">
        <f ca="1">(L$1-D34)/365</f>
        <v>13.936986301369863</v>
      </c>
    </row>
    <row r="35" spans="1:12" ht="24" customHeight="1">
      <c r="A35" s="5">
        <v>33</v>
      </c>
      <c r="B35" s="18" t="s">
        <v>141</v>
      </c>
      <c r="C35" s="15" t="s">
        <v>142</v>
      </c>
      <c r="D35" s="16">
        <v>27250</v>
      </c>
      <c r="E35" s="30" t="s">
        <v>12</v>
      </c>
      <c r="F35" s="15" t="s">
        <v>12</v>
      </c>
      <c r="G35" s="6"/>
      <c r="H35" s="30" t="s">
        <v>12</v>
      </c>
      <c r="I35" s="19" t="s">
        <v>143</v>
      </c>
      <c r="J35" s="6"/>
      <c r="K35" s="6"/>
      <c r="L35" s="17">
        <f ca="1">(L$1-D35)/365</f>
        <v>51.591780821917808</v>
      </c>
    </row>
    <row r="36" spans="1:12" ht="24" customHeight="1">
      <c r="A36" s="5">
        <v>34</v>
      </c>
      <c r="B36" s="28" t="s">
        <v>355</v>
      </c>
      <c r="C36" s="15" t="s">
        <v>362</v>
      </c>
      <c r="D36" s="16">
        <v>26460</v>
      </c>
      <c r="E36" s="28" t="s">
        <v>18</v>
      </c>
      <c r="F36" s="15" t="s">
        <v>12</v>
      </c>
      <c r="G36" s="6" t="s">
        <v>12</v>
      </c>
      <c r="H36" s="28" t="s">
        <v>18</v>
      </c>
      <c r="I36" s="15"/>
      <c r="J36" s="6" t="s">
        <v>12</v>
      </c>
      <c r="K36" s="19" t="s">
        <v>53</v>
      </c>
      <c r="L36" s="17"/>
    </row>
    <row r="37" spans="1:12" ht="24" customHeight="1">
      <c r="A37" s="5">
        <v>35</v>
      </c>
      <c r="B37" s="15" t="s">
        <v>263</v>
      </c>
      <c r="C37" s="15" t="s">
        <v>267</v>
      </c>
      <c r="D37" s="16">
        <v>22692</v>
      </c>
      <c r="E37" s="30" t="s">
        <v>12</v>
      </c>
      <c r="F37" s="15" t="s">
        <v>12</v>
      </c>
      <c r="G37" s="6"/>
      <c r="H37" s="30" t="s">
        <v>12</v>
      </c>
      <c r="I37" s="15" t="s">
        <v>13</v>
      </c>
      <c r="J37" s="6"/>
      <c r="K37" s="15"/>
      <c r="L37" s="17">
        <f ca="1">(L$1-D37)/365</f>
        <v>64.079452054794515</v>
      </c>
    </row>
    <row r="38" spans="1:12" ht="24" customHeight="1">
      <c r="A38" s="5">
        <v>36</v>
      </c>
      <c r="B38" s="15" t="s">
        <v>95</v>
      </c>
      <c r="C38" s="6"/>
      <c r="D38" s="16">
        <v>42849</v>
      </c>
      <c r="E38" s="28" t="s">
        <v>18</v>
      </c>
      <c r="F38" s="15" t="s">
        <v>18</v>
      </c>
      <c r="G38" s="6"/>
      <c r="H38" s="28" t="s">
        <v>18</v>
      </c>
      <c r="I38" s="6"/>
      <c r="J38" s="30" t="s">
        <v>12</v>
      </c>
      <c r="K38" s="15" t="s">
        <v>96</v>
      </c>
      <c r="L38" s="17">
        <f ca="1">(L$1-D38)/365</f>
        <v>8.8547945205479444</v>
      </c>
    </row>
    <row r="39" spans="1:12" ht="24" customHeight="1">
      <c r="A39" s="5">
        <v>37</v>
      </c>
      <c r="B39" s="15" t="s">
        <v>89</v>
      </c>
      <c r="C39" s="15" t="s">
        <v>90</v>
      </c>
      <c r="D39" s="16">
        <v>18642</v>
      </c>
      <c r="E39" s="30" t="s">
        <v>12</v>
      </c>
      <c r="F39" s="15" t="s">
        <v>12</v>
      </c>
      <c r="G39" s="6"/>
      <c r="H39" s="28" t="s">
        <v>18</v>
      </c>
      <c r="I39" s="6"/>
      <c r="J39" s="30" t="s">
        <v>12</v>
      </c>
      <c r="K39" s="15" t="s">
        <v>16</v>
      </c>
      <c r="L39" s="17">
        <f ca="1">(L$1-D39)/365</f>
        <v>75.175342465753431</v>
      </c>
    </row>
    <row r="40" spans="1:12" ht="24" customHeight="1">
      <c r="A40" s="5">
        <v>38</v>
      </c>
      <c r="B40" s="18" t="s">
        <v>82</v>
      </c>
      <c r="C40" s="15" t="s">
        <v>83</v>
      </c>
      <c r="D40" s="16">
        <v>36357</v>
      </c>
      <c r="E40" s="30" t="s">
        <v>12</v>
      </c>
      <c r="F40" s="15" t="s">
        <v>12</v>
      </c>
      <c r="G40" s="6"/>
      <c r="H40" s="28" t="s">
        <v>18</v>
      </c>
      <c r="I40" s="6"/>
      <c r="J40" s="15" t="s">
        <v>18</v>
      </c>
      <c r="K40" s="6"/>
      <c r="L40" s="17">
        <f ca="1">(L$1-D40)/365</f>
        <v>26.641095890410959</v>
      </c>
    </row>
    <row r="41" spans="1:12" ht="24" customHeight="1">
      <c r="A41" s="5">
        <v>39</v>
      </c>
      <c r="B41" s="15" t="s">
        <v>172</v>
      </c>
      <c r="C41" s="15" t="s">
        <v>173</v>
      </c>
      <c r="D41" s="16">
        <v>26554</v>
      </c>
      <c r="E41" s="30" t="s">
        <v>12</v>
      </c>
      <c r="F41" s="15" t="s">
        <v>12</v>
      </c>
      <c r="G41" s="6"/>
      <c r="H41" s="30" t="s">
        <v>12</v>
      </c>
      <c r="I41" s="15" t="s">
        <v>119</v>
      </c>
      <c r="J41" s="6"/>
      <c r="K41" s="6"/>
      <c r="L41" s="17">
        <f ca="1">(L$1-D41)/365</f>
        <v>53.4986301369863</v>
      </c>
    </row>
    <row r="42" spans="1:12" ht="24" customHeight="1">
      <c r="A42" s="5">
        <v>40</v>
      </c>
      <c r="B42" s="28" t="s">
        <v>365</v>
      </c>
      <c r="C42" s="15" t="s">
        <v>369</v>
      </c>
      <c r="D42" s="16">
        <v>45933</v>
      </c>
      <c r="E42" s="30" t="s">
        <v>12</v>
      </c>
      <c r="F42" s="15" t="s">
        <v>12</v>
      </c>
      <c r="G42" s="6" t="s">
        <v>12</v>
      </c>
      <c r="H42" s="30" t="s">
        <v>12</v>
      </c>
      <c r="I42" s="15" t="s">
        <v>366</v>
      </c>
      <c r="J42" s="6" t="s">
        <v>12</v>
      </c>
      <c r="K42" s="15" t="s">
        <v>16</v>
      </c>
      <c r="L42" s="17"/>
    </row>
    <row r="43" spans="1:12" ht="24" customHeight="1">
      <c r="A43" s="5">
        <v>41</v>
      </c>
      <c r="B43" s="15" t="s">
        <v>97</v>
      </c>
      <c r="C43" s="15" t="s">
        <v>210</v>
      </c>
      <c r="D43" s="16">
        <v>30985</v>
      </c>
      <c r="E43" s="28" t="s">
        <v>18</v>
      </c>
      <c r="F43" s="15" t="s">
        <v>18</v>
      </c>
      <c r="G43" s="6"/>
      <c r="H43" s="30" t="s">
        <v>12</v>
      </c>
      <c r="I43" s="6"/>
      <c r="J43" s="15" t="s">
        <v>12</v>
      </c>
      <c r="K43" s="19" t="s">
        <v>53</v>
      </c>
      <c r="L43" s="17">
        <f ca="1">(L$1-D43)/365</f>
        <v>41.358904109589041</v>
      </c>
    </row>
    <row r="44" spans="1:12" ht="24" customHeight="1">
      <c r="A44" s="5">
        <v>42</v>
      </c>
      <c r="B44" s="15" t="s">
        <v>63</v>
      </c>
      <c r="C44" s="15" t="s">
        <v>64</v>
      </c>
      <c r="D44" s="16">
        <v>32417</v>
      </c>
      <c r="E44" s="30" t="s">
        <v>12</v>
      </c>
      <c r="F44" s="15" t="s">
        <v>18</v>
      </c>
      <c r="G44" s="15" t="s">
        <v>12</v>
      </c>
      <c r="H44" s="28" t="s">
        <v>18</v>
      </c>
      <c r="I44" s="6"/>
      <c r="J44" s="15" t="s">
        <v>18</v>
      </c>
      <c r="K44" s="6"/>
      <c r="L44" s="17">
        <f ca="1">(L$1-D44)/365</f>
        <v>37.435616438356163</v>
      </c>
    </row>
    <row r="45" spans="1:12" ht="24" customHeight="1">
      <c r="A45" s="5">
        <v>43</v>
      </c>
      <c r="B45" s="18" t="s">
        <v>183</v>
      </c>
      <c r="C45" s="15" t="s">
        <v>206</v>
      </c>
      <c r="D45" s="16">
        <v>27743</v>
      </c>
      <c r="E45" s="30" t="s">
        <v>12</v>
      </c>
      <c r="F45" s="15" t="s">
        <v>12</v>
      </c>
      <c r="G45" s="6"/>
      <c r="H45" s="30" t="s">
        <v>12</v>
      </c>
      <c r="I45" s="15" t="s">
        <v>345</v>
      </c>
      <c r="J45" s="6"/>
      <c r="K45" s="6"/>
      <c r="L45" s="17">
        <f ca="1">(L$1-D45)/365</f>
        <v>50.241095890410961</v>
      </c>
    </row>
    <row r="46" spans="1:12" ht="24" customHeight="1">
      <c r="A46" s="5">
        <v>44</v>
      </c>
      <c r="B46" s="15" t="s">
        <v>136</v>
      </c>
      <c r="C46" s="15" t="s">
        <v>137</v>
      </c>
      <c r="D46" s="16">
        <v>28236</v>
      </c>
      <c r="E46" s="30" t="s">
        <v>12</v>
      </c>
      <c r="F46" s="15" t="s">
        <v>12</v>
      </c>
      <c r="G46" s="6"/>
      <c r="H46" s="30" t="s">
        <v>12</v>
      </c>
      <c r="I46" s="33" t="s">
        <v>138</v>
      </c>
      <c r="J46" s="6"/>
      <c r="K46" s="6"/>
      <c r="L46" s="17">
        <f ca="1">(L$1-D46)/365</f>
        <v>48.890410958904113</v>
      </c>
    </row>
    <row r="47" spans="1:12" ht="24" customHeight="1">
      <c r="A47" s="5">
        <v>45</v>
      </c>
      <c r="B47" s="15" t="s">
        <v>375</v>
      </c>
      <c r="C47" s="15" t="s">
        <v>374</v>
      </c>
      <c r="D47" s="16">
        <v>31593</v>
      </c>
      <c r="E47" s="28" t="s">
        <v>18</v>
      </c>
      <c r="F47" s="15" t="s">
        <v>12</v>
      </c>
      <c r="G47" s="6"/>
      <c r="H47" s="28" t="s">
        <v>18</v>
      </c>
      <c r="I47" s="15"/>
      <c r="J47" s="34" t="s">
        <v>12</v>
      </c>
      <c r="K47" s="15"/>
      <c r="L47" s="17">
        <f ca="1">(L$1-D47)/365</f>
        <v>39.69315068493151</v>
      </c>
    </row>
    <row r="48" spans="1:12" ht="24" customHeight="1">
      <c r="A48" s="5">
        <v>46</v>
      </c>
      <c r="B48" s="18" t="s">
        <v>348</v>
      </c>
      <c r="C48" s="15" t="s">
        <v>235</v>
      </c>
      <c r="D48" s="16">
        <v>32606</v>
      </c>
      <c r="E48" s="30" t="s">
        <v>12</v>
      </c>
      <c r="F48" s="15" t="s">
        <v>12</v>
      </c>
      <c r="G48" s="6"/>
      <c r="H48" s="28" t="s">
        <v>18</v>
      </c>
      <c r="I48" s="15"/>
      <c r="J48" s="6" t="s">
        <v>18</v>
      </c>
      <c r="K48" s="15"/>
      <c r="L48" s="17">
        <f ca="1">(L$1-D48)/365</f>
        <v>36.917808219178085</v>
      </c>
    </row>
    <row r="49" spans="1:12" ht="24" customHeight="1">
      <c r="A49" s="5">
        <v>47</v>
      </c>
      <c r="B49" s="18" t="s">
        <v>20</v>
      </c>
      <c r="C49" s="15" t="s">
        <v>111</v>
      </c>
      <c r="D49" s="16">
        <v>25767</v>
      </c>
      <c r="E49" s="30" t="s">
        <v>12</v>
      </c>
      <c r="F49" s="15" t="s">
        <v>12</v>
      </c>
      <c r="G49" s="6"/>
      <c r="H49" s="28" t="s">
        <v>18</v>
      </c>
      <c r="I49" s="6"/>
      <c r="J49" s="6"/>
      <c r="K49" s="15" t="s">
        <v>19</v>
      </c>
      <c r="L49" s="17">
        <f ca="1">(L$1-D49)/365</f>
        <v>55.654794520547945</v>
      </c>
    </row>
    <row r="50" spans="1:12" ht="24" customHeight="1">
      <c r="A50" s="5">
        <v>48</v>
      </c>
      <c r="B50" s="18" t="s">
        <v>245</v>
      </c>
      <c r="C50" s="15" t="s">
        <v>255</v>
      </c>
      <c r="D50" s="16">
        <v>30598</v>
      </c>
      <c r="E50" s="30" t="s">
        <v>12</v>
      </c>
      <c r="F50" s="15" t="s">
        <v>18</v>
      </c>
      <c r="G50" s="6" t="s">
        <v>12</v>
      </c>
      <c r="H50" s="28" t="s">
        <v>18</v>
      </c>
      <c r="I50" s="15"/>
      <c r="J50" s="6" t="s">
        <v>18</v>
      </c>
      <c r="K50" s="15"/>
      <c r="L50" s="17">
        <f ca="1">(L$1-D50)/365</f>
        <v>42.419178082191777</v>
      </c>
    </row>
    <row r="51" spans="1:12" ht="24" customHeight="1">
      <c r="A51" s="5">
        <v>49</v>
      </c>
      <c r="B51" s="15" t="s">
        <v>126</v>
      </c>
      <c r="C51" s="15" t="s">
        <v>127</v>
      </c>
      <c r="D51" s="16">
        <v>38672</v>
      </c>
      <c r="E51" s="30" t="s">
        <v>12</v>
      </c>
      <c r="F51" s="15" t="s">
        <v>12</v>
      </c>
      <c r="G51" s="6"/>
      <c r="H51" s="30" t="s">
        <v>12</v>
      </c>
      <c r="I51" s="19" t="s">
        <v>242</v>
      </c>
      <c r="J51" s="6"/>
      <c r="K51" s="6"/>
      <c r="L51" s="17">
        <f ca="1">(L$1-D51)/365</f>
        <v>20.298630136986301</v>
      </c>
    </row>
    <row r="52" spans="1:12" ht="24" customHeight="1">
      <c r="A52" s="5">
        <v>50</v>
      </c>
      <c r="B52" s="18" t="s">
        <v>231</v>
      </c>
      <c r="C52" s="15" t="s">
        <v>238</v>
      </c>
      <c r="D52" s="16">
        <v>35796</v>
      </c>
      <c r="E52" s="30" t="s">
        <v>12</v>
      </c>
      <c r="F52" s="15" t="s">
        <v>12</v>
      </c>
      <c r="G52" s="6"/>
      <c r="H52" s="28" t="s">
        <v>18</v>
      </c>
      <c r="I52" s="15"/>
      <c r="J52" s="6" t="s">
        <v>18</v>
      </c>
      <c r="K52" s="15"/>
      <c r="L52" s="17">
        <f ca="1">(L$1-D52)/365</f>
        <v>28.17808219178082</v>
      </c>
    </row>
    <row r="53" spans="1:12" ht="24" customHeight="1">
      <c r="A53" s="5">
        <v>51</v>
      </c>
      <c r="B53" s="18" t="s">
        <v>47</v>
      </c>
      <c r="C53" s="15" t="s">
        <v>212</v>
      </c>
      <c r="D53" s="16">
        <v>29057</v>
      </c>
      <c r="E53" s="30" t="s">
        <v>12</v>
      </c>
      <c r="F53" s="15" t="s">
        <v>12</v>
      </c>
      <c r="G53" s="6"/>
      <c r="H53" s="30" t="s">
        <v>12</v>
      </c>
      <c r="I53" s="15" t="s">
        <v>239</v>
      </c>
      <c r="J53" s="6"/>
      <c r="K53" s="6"/>
      <c r="L53" s="17">
        <f ca="1">(L$1-D53)/365</f>
        <v>46.641095890410959</v>
      </c>
    </row>
    <row r="54" spans="1:12" ht="24" customHeight="1">
      <c r="A54" s="5">
        <v>52</v>
      </c>
      <c r="B54" s="15" t="s">
        <v>251</v>
      </c>
      <c r="C54" s="15" t="s">
        <v>259</v>
      </c>
      <c r="D54" s="16">
        <v>29614</v>
      </c>
      <c r="E54" s="30" t="s">
        <v>12</v>
      </c>
      <c r="F54" s="15" t="s">
        <v>12</v>
      </c>
      <c r="G54" s="6"/>
      <c r="H54" s="28" t="s">
        <v>18</v>
      </c>
      <c r="I54" s="15"/>
      <c r="J54" s="6" t="s">
        <v>18</v>
      </c>
      <c r="K54" s="15"/>
      <c r="L54" s="17">
        <f ca="1">(L$1-D54)/365</f>
        <v>45.115068493150687</v>
      </c>
    </row>
    <row r="55" spans="1:12" ht="24" customHeight="1">
      <c r="A55" s="5">
        <v>53</v>
      </c>
      <c r="B55" s="15" t="s">
        <v>217</v>
      </c>
      <c r="C55" s="15" t="s">
        <v>222</v>
      </c>
      <c r="D55" s="16">
        <v>40574</v>
      </c>
      <c r="E55" s="30" t="s">
        <v>12</v>
      </c>
      <c r="F55" s="15" t="s">
        <v>12</v>
      </c>
      <c r="G55" s="6"/>
      <c r="H55" s="30" t="s">
        <v>12</v>
      </c>
      <c r="I55" s="33" t="s">
        <v>241</v>
      </c>
      <c r="J55" s="6"/>
      <c r="K55" s="15"/>
      <c r="L55" s="17">
        <f ca="1">(L$1-D55)/365</f>
        <v>15.087671232876712</v>
      </c>
    </row>
    <row r="56" spans="1:12" ht="24" customHeight="1">
      <c r="A56" s="5">
        <v>54</v>
      </c>
      <c r="B56" s="18" t="s">
        <v>218</v>
      </c>
      <c r="C56" s="15" t="s">
        <v>223</v>
      </c>
      <c r="D56" s="16">
        <v>30291</v>
      </c>
      <c r="E56" s="30" t="s">
        <v>12</v>
      </c>
      <c r="F56" s="15" t="s">
        <v>12</v>
      </c>
      <c r="G56" s="6"/>
      <c r="H56" s="30" t="s">
        <v>12</v>
      </c>
      <c r="I56" s="15" t="s">
        <v>219</v>
      </c>
      <c r="J56" s="6"/>
      <c r="K56" s="15"/>
      <c r="L56" s="17">
        <f ca="1">(L$1-D56)/365</f>
        <v>43.260273972602739</v>
      </c>
    </row>
    <row r="57" spans="1:12" ht="24" customHeight="1">
      <c r="A57" s="5">
        <v>55</v>
      </c>
      <c r="B57" s="15" t="s">
        <v>33</v>
      </c>
      <c r="C57" s="15" t="s">
        <v>198</v>
      </c>
      <c r="D57" s="16">
        <v>34106</v>
      </c>
      <c r="E57" s="30" t="s">
        <v>12</v>
      </c>
      <c r="F57" s="15" t="s">
        <v>18</v>
      </c>
      <c r="G57" s="15" t="s">
        <v>12</v>
      </c>
      <c r="H57" s="28" t="s">
        <v>18</v>
      </c>
      <c r="I57" s="6"/>
      <c r="J57" s="30" t="s">
        <v>12</v>
      </c>
      <c r="K57" s="15" t="s">
        <v>30</v>
      </c>
      <c r="L57" s="17">
        <f ca="1">(L$1-D57)/365</f>
        <v>32.80821917808219</v>
      </c>
    </row>
    <row r="58" spans="1:12" ht="24" customHeight="1">
      <c r="A58" s="5">
        <v>56</v>
      </c>
      <c r="B58" s="18" t="s">
        <v>165</v>
      </c>
      <c r="C58" s="15" t="s">
        <v>166</v>
      </c>
      <c r="D58" s="16">
        <v>33770</v>
      </c>
      <c r="E58" s="30" t="s">
        <v>12</v>
      </c>
      <c r="F58" s="15" t="s">
        <v>12</v>
      </c>
      <c r="G58" s="6"/>
      <c r="H58" s="30" t="s">
        <v>12</v>
      </c>
      <c r="I58" s="15" t="s">
        <v>167</v>
      </c>
      <c r="J58" s="6"/>
      <c r="K58" s="6"/>
      <c r="L58" s="17">
        <f ca="1">(L$1-D58)/365</f>
        <v>33.728767123287675</v>
      </c>
    </row>
    <row r="59" spans="1:12" ht="24" customHeight="1">
      <c r="A59" s="5">
        <v>57</v>
      </c>
      <c r="B59" s="15" t="s">
        <v>101</v>
      </c>
      <c r="C59" s="15" t="s">
        <v>102</v>
      </c>
      <c r="D59" s="16">
        <v>28303</v>
      </c>
      <c r="E59" s="30" t="s">
        <v>12</v>
      </c>
      <c r="F59" s="15" t="s">
        <v>12</v>
      </c>
      <c r="G59" s="6"/>
      <c r="H59" s="28" t="s">
        <v>18</v>
      </c>
      <c r="I59" s="6"/>
      <c r="J59" s="30" t="s">
        <v>12</v>
      </c>
      <c r="K59" s="15" t="s">
        <v>19</v>
      </c>
      <c r="L59" s="17">
        <f ca="1">(L$1-D59)/365</f>
        <v>48.706849315068496</v>
      </c>
    </row>
    <row r="60" spans="1:12" ht="24" customHeight="1">
      <c r="A60" s="5">
        <v>58</v>
      </c>
      <c r="B60" s="15" t="s">
        <v>380</v>
      </c>
      <c r="C60" s="15" t="s">
        <v>381</v>
      </c>
      <c r="D60" s="16">
        <v>27764</v>
      </c>
      <c r="E60" s="28" t="s">
        <v>18</v>
      </c>
      <c r="F60" s="15" t="s">
        <v>12</v>
      </c>
      <c r="G60" s="6"/>
      <c r="H60" s="30" t="s">
        <v>12</v>
      </c>
      <c r="I60" s="15" t="s">
        <v>51</v>
      </c>
      <c r="J60" s="34" t="s">
        <v>12</v>
      </c>
      <c r="K60" s="15"/>
      <c r="L60" s="17">
        <f ca="1">(L$1-D60)/365</f>
        <v>50.183561643835617</v>
      </c>
    </row>
    <row r="61" spans="1:12" ht="24" customHeight="1">
      <c r="A61" s="5">
        <v>59</v>
      </c>
      <c r="B61" s="15" t="s">
        <v>174</v>
      </c>
      <c r="C61" s="15" t="s">
        <v>175</v>
      </c>
      <c r="D61" s="16">
        <v>38502</v>
      </c>
      <c r="E61" s="30" t="s">
        <v>12</v>
      </c>
      <c r="F61" s="15" t="s">
        <v>18</v>
      </c>
      <c r="G61" s="6"/>
      <c r="H61" s="30" t="s">
        <v>12</v>
      </c>
      <c r="I61" s="15" t="s">
        <v>149</v>
      </c>
      <c r="J61" s="6"/>
      <c r="K61" s="6"/>
      <c r="L61" s="17">
        <f ca="1">(L$1-D61)/365</f>
        <v>20.764383561643836</v>
      </c>
    </row>
    <row r="62" spans="1:12" ht="24" customHeight="1">
      <c r="A62" s="5">
        <v>60</v>
      </c>
      <c r="B62" s="18" t="s">
        <v>60</v>
      </c>
      <c r="C62" s="15" t="s">
        <v>194</v>
      </c>
      <c r="D62" s="16">
        <v>30879</v>
      </c>
      <c r="E62" s="30" t="s">
        <v>12</v>
      </c>
      <c r="F62" s="15" t="s">
        <v>12</v>
      </c>
      <c r="G62" s="6"/>
      <c r="H62" s="28" t="s">
        <v>18</v>
      </c>
      <c r="I62" s="6"/>
      <c r="J62" s="30" t="s">
        <v>12</v>
      </c>
      <c r="K62" s="15" t="s">
        <v>61</v>
      </c>
      <c r="L62" s="17">
        <f ca="1">(L$1-D62)/365</f>
        <v>41.649315068493152</v>
      </c>
    </row>
    <row r="63" spans="1:12" ht="24" customHeight="1">
      <c r="A63" s="5">
        <v>61</v>
      </c>
      <c r="B63" s="15" t="s">
        <v>134</v>
      </c>
      <c r="C63" s="15" t="s">
        <v>135</v>
      </c>
      <c r="D63" s="16">
        <v>31883</v>
      </c>
      <c r="E63" s="30" t="s">
        <v>12</v>
      </c>
      <c r="F63" s="15" t="s">
        <v>12</v>
      </c>
      <c r="G63" s="6"/>
      <c r="H63" s="30" t="s">
        <v>12</v>
      </c>
      <c r="I63" s="15" t="s">
        <v>51</v>
      </c>
      <c r="J63" s="6"/>
      <c r="K63" s="6"/>
      <c r="L63" s="17">
        <f ca="1">(L$1-D63)/365</f>
        <v>38.898630136986299</v>
      </c>
    </row>
    <row r="64" spans="1:12" ht="24" customHeight="1">
      <c r="A64" s="5">
        <v>62</v>
      </c>
      <c r="B64" s="15" t="s">
        <v>269</v>
      </c>
      <c r="C64" s="15" t="s">
        <v>271</v>
      </c>
      <c r="D64" s="16">
        <v>28219</v>
      </c>
      <c r="E64" s="30" t="s">
        <v>12</v>
      </c>
      <c r="F64" s="15" t="s">
        <v>12</v>
      </c>
      <c r="G64" s="6"/>
      <c r="H64" s="28" t="s">
        <v>18</v>
      </c>
      <c r="I64" s="15"/>
      <c r="J64" s="34" t="s">
        <v>12</v>
      </c>
      <c r="K64" s="19" t="s">
        <v>53</v>
      </c>
      <c r="L64" s="17">
        <f ca="1">(L$1-D64)/365</f>
        <v>48.936986301369863</v>
      </c>
    </row>
    <row r="65" spans="1:12" ht="24" customHeight="1">
      <c r="A65" s="5">
        <v>63</v>
      </c>
      <c r="B65" s="15" t="s">
        <v>171</v>
      </c>
      <c r="C65" s="6"/>
      <c r="D65" s="16">
        <v>36597</v>
      </c>
      <c r="E65" s="30" t="s">
        <v>12</v>
      </c>
      <c r="F65" s="15" t="s">
        <v>12</v>
      </c>
      <c r="G65" s="6"/>
      <c r="H65" s="30" t="s">
        <v>12</v>
      </c>
      <c r="I65" s="15" t="s">
        <v>119</v>
      </c>
      <c r="J65" s="6"/>
      <c r="K65" s="6"/>
      <c r="L65" s="17"/>
    </row>
    <row r="66" spans="1:12" ht="24" customHeight="1">
      <c r="A66" s="5">
        <v>64</v>
      </c>
      <c r="B66" s="15" t="s">
        <v>281</v>
      </c>
      <c r="C66" s="15" t="s">
        <v>282</v>
      </c>
      <c r="D66" s="16"/>
      <c r="E66" s="30" t="s">
        <v>12</v>
      </c>
      <c r="F66" s="15" t="s">
        <v>12</v>
      </c>
      <c r="G66" s="6"/>
      <c r="H66" s="15"/>
      <c r="I66" s="15"/>
      <c r="J66" s="6" t="s">
        <v>12</v>
      </c>
      <c r="K66" s="15" t="s">
        <v>55</v>
      </c>
      <c r="L66" s="17"/>
    </row>
    <row r="67" spans="1:12" ht="24" customHeight="1">
      <c r="A67" s="5">
        <v>65</v>
      </c>
      <c r="B67" s="28" t="s">
        <v>349</v>
      </c>
      <c r="C67" s="15" t="s">
        <v>358</v>
      </c>
      <c r="D67" s="16">
        <v>31326</v>
      </c>
      <c r="E67" s="30" t="s">
        <v>12</v>
      </c>
      <c r="F67" s="15" t="s">
        <v>12</v>
      </c>
      <c r="G67" s="6"/>
      <c r="H67" s="28" t="s">
        <v>18</v>
      </c>
      <c r="I67" s="15"/>
      <c r="J67" s="6" t="s">
        <v>12</v>
      </c>
      <c r="K67" s="19" t="s">
        <v>100</v>
      </c>
      <c r="L67" s="17"/>
    </row>
    <row r="68" spans="1:12" ht="24" customHeight="1">
      <c r="A68" s="5">
        <v>66</v>
      </c>
      <c r="B68" s="18" t="s">
        <v>115</v>
      </c>
      <c r="C68" s="15" t="s">
        <v>116</v>
      </c>
      <c r="D68" s="16">
        <v>24419</v>
      </c>
      <c r="E68" s="30" t="s">
        <v>12</v>
      </c>
      <c r="F68" s="15" t="s">
        <v>12</v>
      </c>
      <c r="G68" s="6"/>
      <c r="H68" s="30" t="s">
        <v>12</v>
      </c>
      <c r="I68" s="15" t="s">
        <v>41</v>
      </c>
      <c r="J68" s="6"/>
      <c r="K68" s="6"/>
      <c r="L68" s="17">
        <f ca="1">(L$1-D68)/365</f>
        <v>59.347945205479455</v>
      </c>
    </row>
    <row r="69" spans="1:12" ht="24" customHeight="1">
      <c r="A69" s="5">
        <v>67</v>
      </c>
      <c r="B69" s="15" t="s">
        <v>76</v>
      </c>
      <c r="C69" s="15" t="s">
        <v>77</v>
      </c>
      <c r="D69" s="16">
        <v>27762</v>
      </c>
      <c r="E69" s="30" t="s">
        <v>12</v>
      </c>
      <c r="F69" s="15" t="s">
        <v>12</v>
      </c>
      <c r="G69" s="6"/>
      <c r="H69" s="28" t="s">
        <v>18</v>
      </c>
      <c r="I69" s="6"/>
      <c r="J69" s="15" t="s">
        <v>18</v>
      </c>
      <c r="K69" s="6"/>
      <c r="L69" s="17">
        <f ca="1">(L$1-D69)/365</f>
        <v>50.18904109589041</v>
      </c>
    </row>
    <row r="70" spans="1:12" ht="24" customHeight="1">
      <c r="A70" s="5">
        <v>68</v>
      </c>
      <c r="B70" s="15" t="s">
        <v>273</v>
      </c>
      <c r="C70" s="15">
        <v>82999680427</v>
      </c>
      <c r="D70" s="16">
        <v>38680</v>
      </c>
      <c r="E70" s="30" t="s">
        <v>12</v>
      </c>
      <c r="F70" s="15" t="s">
        <v>12</v>
      </c>
      <c r="G70" s="6"/>
      <c r="H70" s="30" t="s">
        <v>12</v>
      </c>
      <c r="I70" s="15" t="s">
        <v>274</v>
      </c>
      <c r="J70" s="6"/>
      <c r="K70" s="15"/>
      <c r="L70" s="17">
        <f ca="1">(L$1-D70)/365</f>
        <v>20.276712328767122</v>
      </c>
    </row>
    <row r="71" spans="1:12" ht="24" customHeight="1">
      <c r="A71" s="5">
        <v>69</v>
      </c>
      <c r="B71" s="15" t="s">
        <v>62</v>
      </c>
      <c r="C71" s="15" t="s">
        <v>201</v>
      </c>
      <c r="D71" s="16">
        <v>32089</v>
      </c>
      <c r="E71" s="30" t="s">
        <v>12</v>
      </c>
      <c r="F71" s="15" t="s">
        <v>12</v>
      </c>
      <c r="G71" s="6"/>
      <c r="H71" s="28" t="s">
        <v>18</v>
      </c>
      <c r="I71" s="6"/>
      <c r="J71" s="30" t="s">
        <v>12</v>
      </c>
      <c r="K71" s="15" t="s">
        <v>61</v>
      </c>
      <c r="L71" s="17">
        <f ca="1">(L$1-D71)/365</f>
        <v>38.334246575342469</v>
      </c>
    </row>
    <row r="72" spans="1:12" ht="24" customHeight="1">
      <c r="A72" s="5">
        <v>70</v>
      </c>
      <c r="B72" s="15" t="s">
        <v>215</v>
      </c>
      <c r="C72" s="15" t="s">
        <v>208</v>
      </c>
      <c r="D72" s="16">
        <v>31525</v>
      </c>
      <c r="E72" s="30" t="s">
        <v>12</v>
      </c>
      <c r="F72" s="15" t="s">
        <v>18</v>
      </c>
      <c r="G72" s="6"/>
      <c r="H72" s="30" t="s">
        <v>12</v>
      </c>
      <c r="I72" s="15" t="s">
        <v>71</v>
      </c>
      <c r="J72" s="6"/>
      <c r="K72" s="6"/>
      <c r="L72" s="17">
        <f ca="1">(L$1-D72)/365</f>
        <v>39.87945205479452</v>
      </c>
    </row>
    <row r="73" spans="1:12" ht="24" customHeight="1">
      <c r="A73" s="5">
        <v>71</v>
      </c>
      <c r="B73" s="18" t="s">
        <v>243</v>
      </c>
      <c r="C73" s="15" t="s">
        <v>253</v>
      </c>
      <c r="D73" s="16">
        <v>34566</v>
      </c>
      <c r="E73" s="30" t="s">
        <v>12</v>
      </c>
      <c r="F73" s="15" t="s">
        <v>12</v>
      </c>
      <c r="G73" s="6"/>
      <c r="H73" s="30" t="s">
        <v>12</v>
      </c>
      <c r="I73" s="15" t="s">
        <v>261</v>
      </c>
      <c r="J73" s="6"/>
      <c r="K73" s="15"/>
      <c r="L73" s="17">
        <f ca="1">(L$1-D73)/365</f>
        <v>31.547945205479451</v>
      </c>
    </row>
    <row r="74" spans="1:12" ht="24" customHeight="1">
      <c r="A74" s="5">
        <v>72</v>
      </c>
      <c r="B74" s="15" t="s">
        <v>93</v>
      </c>
      <c r="C74" s="15" t="s">
        <v>94</v>
      </c>
      <c r="D74" s="16">
        <v>25661</v>
      </c>
      <c r="E74" s="30" t="s">
        <v>12</v>
      </c>
      <c r="F74" s="15" t="s">
        <v>12</v>
      </c>
      <c r="G74" s="6"/>
      <c r="H74" s="28" t="s">
        <v>18</v>
      </c>
      <c r="I74" s="6"/>
      <c r="J74" s="30" t="s">
        <v>12</v>
      </c>
      <c r="K74" s="15" t="s">
        <v>42</v>
      </c>
      <c r="L74" s="17">
        <f ca="1">(L$1-D74)/365</f>
        <v>55.945205479452056</v>
      </c>
    </row>
    <row r="75" spans="1:12" ht="24" customHeight="1">
      <c r="A75" s="5">
        <v>73</v>
      </c>
      <c r="B75" s="15" t="s">
        <v>91</v>
      </c>
      <c r="C75" s="15" t="s">
        <v>92</v>
      </c>
      <c r="D75" s="16">
        <v>27528</v>
      </c>
      <c r="E75" s="30" t="s">
        <v>12</v>
      </c>
      <c r="F75" s="15" t="s">
        <v>12</v>
      </c>
      <c r="G75" s="6"/>
      <c r="H75" s="28" t="s">
        <v>18</v>
      </c>
      <c r="I75" s="6"/>
      <c r="J75" s="30" t="s">
        <v>12</v>
      </c>
      <c r="K75" s="15" t="s">
        <v>42</v>
      </c>
      <c r="L75" s="17">
        <f ca="1">(L$1-D75)/365</f>
        <v>50.830136986301369</v>
      </c>
    </row>
    <row r="76" spans="1:12" ht="24" customHeight="1">
      <c r="A76" s="5">
        <v>74</v>
      </c>
      <c r="B76" s="18" t="s">
        <v>31</v>
      </c>
      <c r="C76" s="15" t="s">
        <v>197</v>
      </c>
      <c r="D76" s="16">
        <v>33395</v>
      </c>
      <c r="E76" s="28" t="s">
        <v>18</v>
      </c>
      <c r="F76" s="15" t="s">
        <v>12</v>
      </c>
      <c r="G76" s="6"/>
      <c r="H76" s="28" t="s">
        <v>18</v>
      </c>
      <c r="I76" s="6"/>
      <c r="J76" s="30" t="s">
        <v>12</v>
      </c>
      <c r="K76" s="15" t="s">
        <v>32</v>
      </c>
      <c r="L76" s="17">
        <f ca="1">(L$1-D76)/365</f>
        <v>34.756164383561647</v>
      </c>
    </row>
    <row r="77" spans="1:12" ht="24" customHeight="1">
      <c r="A77" s="5">
        <v>75</v>
      </c>
      <c r="B77" s="15" t="s">
        <v>150</v>
      </c>
      <c r="C77" s="15" t="s">
        <v>151</v>
      </c>
      <c r="D77" s="16">
        <v>27875</v>
      </c>
      <c r="E77" s="30" t="s">
        <v>12</v>
      </c>
      <c r="F77" s="15" t="s">
        <v>12</v>
      </c>
      <c r="G77" s="6"/>
      <c r="H77" s="30" t="s">
        <v>12</v>
      </c>
      <c r="I77" s="15" t="s">
        <v>152</v>
      </c>
      <c r="J77" s="6"/>
      <c r="K77" s="6"/>
      <c r="L77" s="17">
        <f ca="1">(L$1-D77)/365</f>
        <v>49.87945205479452</v>
      </c>
    </row>
    <row r="78" spans="1:12" ht="24" customHeight="1">
      <c r="A78" s="5">
        <v>76</v>
      </c>
      <c r="B78" s="28" t="s">
        <v>351</v>
      </c>
      <c r="C78" s="15" t="s">
        <v>352</v>
      </c>
      <c r="D78" s="16">
        <v>32552</v>
      </c>
      <c r="E78" s="30" t="s">
        <v>12</v>
      </c>
      <c r="F78" s="15" t="s">
        <v>12</v>
      </c>
      <c r="G78" s="6"/>
      <c r="H78" s="28" t="s">
        <v>18</v>
      </c>
      <c r="I78" s="15"/>
      <c r="J78" s="6" t="s">
        <v>18</v>
      </c>
      <c r="K78" s="15"/>
      <c r="L78" s="17"/>
    </row>
    <row r="79" spans="1:12" ht="24" customHeight="1">
      <c r="A79" s="5">
        <v>77</v>
      </c>
      <c r="B79" s="15" t="s">
        <v>147</v>
      </c>
      <c r="C79" s="15" t="s">
        <v>148</v>
      </c>
      <c r="D79" s="16">
        <v>41467</v>
      </c>
      <c r="E79" s="30" t="s">
        <v>12</v>
      </c>
      <c r="F79" s="15" t="s">
        <v>12</v>
      </c>
      <c r="G79" s="6"/>
      <c r="H79" s="30" t="s">
        <v>12</v>
      </c>
      <c r="I79" s="15" t="s">
        <v>149</v>
      </c>
      <c r="J79" s="6"/>
      <c r="K79" s="6"/>
      <c r="L79" s="17">
        <f ca="1">(L$1-D79)/365</f>
        <v>12.641095890410959</v>
      </c>
    </row>
    <row r="80" spans="1:12" ht="24" customHeight="1">
      <c r="A80" s="5">
        <v>78</v>
      </c>
      <c r="B80" s="15" t="s">
        <v>56</v>
      </c>
      <c r="C80" s="15" t="s">
        <v>57</v>
      </c>
      <c r="D80" s="16">
        <v>30902</v>
      </c>
      <c r="E80" s="31" t="s">
        <v>18</v>
      </c>
      <c r="F80" s="15" t="s">
        <v>12</v>
      </c>
      <c r="G80" s="15" t="s">
        <v>12</v>
      </c>
      <c r="H80" s="28" t="s">
        <v>18</v>
      </c>
      <c r="I80" s="6"/>
      <c r="J80" s="30" t="s">
        <v>12</v>
      </c>
      <c r="K80" s="15" t="s">
        <v>19</v>
      </c>
      <c r="L80" s="17">
        <f ca="1">(L$1-D80)/365</f>
        <v>41.586301369863016</v>
      </c>
    </row>
    <row r="81" spans="1:12" ht="24" customHeight="1">
      <c r="A81" s="5">
        <v>79</v>
      </c>
      <c r="B81" s="15" t="s">
        <v>316</v>
      </c>
      <c r="C81" s="15" t="s">
        <v>318</v>
      </c>
      <c r="D81" s="16">
        <v>30474</v>
      </c>
      <c r="E81" s="28" t="s">
        <v>18</v>
      </c>
      <c r="F81" s="15" t="s">
        <v>12</v>
      </c>
      <c r="G81" s="6" t="s">
        <v>12</v>
      </c>
      <c r="H81" s="28" t="s">
        <v>18</v>
      </c>
      <c r="I81" s="15"/>
      <c r="J81" s="30" t="s">
        <v>12</v>
      </c>
      <c r="K81" s="19" t="s">
        <v>317</v>
      </c>
      <c r="L81" s="17">
        <f ca="1">(L$1-D81)/365</f>
        <v>42.758904109589039</v>
      </c>
    </row>
    <row r="82" spans="1:12" ht="24" customHeight="1">
      <c r="A82" s="5">
        <v>80</v>
      </c>
      <c r="B82" s="15" t="s">
        <v>38</v>
      </c>
      <c r="C82" s="15" t="s">
        <v>39</v>
      </c>
      <c r="D82" s="16">
        <v>31370</v>
      </c>
      <c r="E82" s="30" t="s">
        <v>12</v>
      </c>
      <c r="F82" s="15" t="s">
        <v>12</v>
      </c>
      <c r="G82" s="15" t="s">
        <v>12</v>
      </c>
      <c r="H82" s="28" t="s">
        <v>18</v>
      </c>
      <c r="I82" s="6"/>
      <c r="J82" s="6"/>
      <c r="K82" s="6"/>
      <c r="L82" s="17">
        <f ca="1">(L$1-D82)/365</f>
        <v>40.304109589041097</v>
      </c>
    </row>
    <row r="83" spans="1:12" ht="24" customHeight="1">
      <c r="A83" s="5">
        <v>81</v>
      </c>
      <c r="B83" s="15" t="s">
        <v>84</v>
      </c>
      <c r="C83" s="15" t="s">
        <v>85</v>
      </c>
      <c r="D83" s="16">
        <v>31051</v>
      </c>
      <c r="E83" s="28" t="s">
        <v>18</v>
      </c>
      <c r="F83" s="15" t="s">
        <v>12</v>
      </c>
      <c r="G83" s="101" t="s">
        <v>70</v>
      </c>
      <c r="H83" s="28" t="s">
        <v>18</v>
      </c>
      <c r="I83" s="6"/>
      <c r="J83" s="30" t="s">
        <v>12</v>
      </c>
      <c r="K83" s="15" t="s">
        <v>19</v>
      </c>
      <c r="L83" s="17">
        <f ca="1">(L$1-D83)/365</f>
        <v>41.178082191780824</v>
      </c>
    </row>
    <row r="84" spans="1:12" ht="24" customHeight="1">
      <c r="A84" s="5">
        <v>82</v>
      </c>
      <c r="B84" s="15" t="s">
        <v>65</v>
      </c>
      <c r="C84" s="15" t="s">
        <v>66</v>
      </c>
      <c r="D84" s="16">
        <v>36008</v>
      </c>
      <c r="E84" s="30" t="s">
        <v>12</v>
      </c>
      <c r="F84" s="15" t="s">
        <v>12</v>
      </c>
      <c r="G84" s="6"/>
      <c r="H84" s="28" t="s">
        <v>18</v>
      </c>
      <c r="I84" s="6"/>
      <c r="J84" s="15" t="s">
        <v>18</v>
      </c>
      <c r="K84" s="6"/>
      <c r="L84" s="17">
        <f ca="1">(L$1-D84)/365</f>
        <v>27.597260273972601</v>
      </c>
    </row>
    <row r="85" spans="1:12" ht="24" customHeight="1">
      <c r="A85" s="5">
        <v>83</v>
      </c>
      <c r="B85" s="15" t="s">
        <v>168</v>
      </c>
      <c r="C85" s="15" t="s">
        <v>169</v>
      </c>
      <c r="D85" s="16">
        <v>26638</v>
      </c>
      <c r="E85" s="30" t="s">
        <v>12</v>
      </c>
      <c r="F85" s="15" t="s">
        <v>12</v>
      </c>
      <c r="G85" s="6"/>
      <c r="H85" s="30" t="s">
        <v>12</v>
      </c>
      <c r="I85" s="15" t="s">
        <v>170</v>
      </c>
      <c r="J85" s="6"/>
      <c r="K85" s="6"/>
      <c r="L85" s="17">
        <f ca="1">(L$1-D85)/365</f>
        <v>53.268493150684932</v>
      </c>
    </row>
    <row r="86" spans="1:12" ht="24" customHeight="1">
      <c r="A86" s="5">
        <v>84</v>
      </c>
      <c r="B86" s="15" t="s">
        <v>385</v>
      </c>
      <c r="C86" s="6"/>
      <c r="D86" s="16">
        <v>41514</v>
      </c>
      <c r="E86" s="28" t="s">
        <v>18</v>
      </c>
      <c r="F86" s="15" t="s">
        <v>18</v>
      </c>
      <c r="G86" s="15" t="s">
        <v>12</v>
      </c>
      <c r="H86" s="28" t="s">
        <v>18</v>
      </c>
      <c r="I86" s="6"/>
      <c r="J86" s="30" t="s">
        <v>12</v>
      </c>
      <c r="K86" s="15" t="s">
        <v>88</v>
      </c>
      <c r="L86" s="17">
        <f ca="1">(L$1-D86)/365</f>
        <v>12.512328767123288</v>
      </c>
    </row>
    <row r="87" spans="1:12" ht="24" customHeight="1">
      <c r="A87" s="5">
        <v>85</v>
      </c>
      <c r="B87" s="15" t="s">
        <v>290</v>
      </c>
      <c r="C87" s="15" t="s">
        <v>291</v>
      </c>
      <c r="D87" s="16">
        <v>32505</v>
      </c>
      <c r="E87" s="28" t="s">
        <v>18</v>
      </c>
      <c r="F87" s="15" t="s">
        <v>12</v>
      </c>
      <c r="G87" s="6" t="s">
        <v>12</v>
      </c>
      <c r="H87" s="28" t="s">
        <v>18</v>
      </c>
      <c r="I87" s="15"/>
      <c r="J87" s="34" t="s">
        <v>12</v>
      </c>
      <c r="K87" s="19" t="s">
        <v>292</v>
      </c>
      <c r="L87" s="17">
        <f ca="1">(L$1-D87)/365</f>
        <v>37.194520547945203</v>
      </c>
    </row>
    <row r="88" spans="1:12" ht="24" customHeight="1">
      <c r="A88" s="5">
        <v>86</v>
      </c>
      <c r="B88" s="15" t="s">
        <v>279</v>
      </c>
      <c r="C88" s="15" t="s">
        <v>280</v>
      </c>
      <c r="D88" s="16">
        <v>24552</v>
      </c>
      <c r="E88" s="30" t="s">
        <v>12</v>
      </c>
      <c r="F88" s="15" t="s">
        <v>12</v>
      </c>
      <c r="G88" s="6"/>
      <c r="H88" s="28" t="s">
        <v>18</v>
      </c>
      <c r="I88" s="15"/>
      <c r="J88" s="6" t="s">
        <v>18</v>
      </c>
      <c r="K88" s="15"/>
      <c r="L88" s="17">
        <f ca="1">(L$1-D88)/365</f>
        <v>58.983561643835614</v>
      </c>
    </row>
    <row r="89" spans="1:12" ht="24" customHeight="1">
      <c r="A89" s="5">
        <v>87</v>
      </c>
      <c r="B89" s="15" t="s">
        <v>310</v>
      </c>
      <c r="C89" s="15" t="s">
        <v>314</v>
      </c>
      <c r="D89" s="16">
        <v>24023</v>
      </c>
      <c r="E89" s="30" t="s">
        <v>12</v>
      </c>
      <c r="F89" s="15" t="s">
        <v>12</v>
      </c>
      <c r="G89" s="6"/>
      <c r="H89" s="30" t="s">
        <v>12</v>
      </c>
      <c r="I89" s="15" t="s">
        <v>311</v>
      </c>
      <c r="J89" s="15"/>
      <c r="K89" s="15"/>
      <c r="L89" s="17">
        <f ca="1">(L$1-D89)/365</f>
        <v>60.43287671232877</v>
      </c>
    </row>
    <row r="90" spans="1:12" ht="24" customHeight="1">
      <c r="A90" s="5">
        <v>88</v>
      </c>
      <c r="B90" s="15" t="s">
        <v>249</v>
      </c>
      <c r="C90" s="15" t="s">
        <v>258</v>
      </c>
      <c r="D90" s="16">
        <v>40861</v>
      </c>
      <c r="E90" s="30" t="s">
        <v>12</v>
      </c>
      <c r="F90" s="15" t="s">
        <v>12</v>
      </c>
      <c r="G90" s="6"/>
      <c r="H90" s="30" t="s">
        <v>12</v>
      </c>
      <c r="I90" s="15" t="s">
        <v>250</v>
      </c>
      <c r="J90" s="6" t="s">
        <v>12</v>
      </c>
      <c r="K90" s="19" t="s">
        <v>53</v>
      </c>
      <c r="L90" s="17">
        <f ca="1">(L$1-D90)/365</f>
        <v>14.301369863013699</v>
      </c>
    </row>
    <row r="91" spans="1:12" ht="24" customHeight="1">
      <c r="A91" s="5">
        <v>89</v>
      </c>
      <c r="B91" s="15" t="s">
        <v>45</v>
      </c>
      <c r="C91" s="15" t="s">
        <v>200</v>
      </c>
      <c r="D91" s="16">
        <v>28154</v>
      </c>
      <c r="E91" s="30" t="s">
        <v>12</v>
      </c>
      <c r="F91" s="15" t="s">
        <v>12</v>
      </c>
      <c r="G91" s="6"/>
      <c r="H91" s="6"/>
      <c r="I91" s="15"/>
      <c r="J91" s="6"/>
      <c r="K91" s="6"/>
      <c r="L91" s="17">
        <f ca="1">(L$1-D91)/365</f>
        <v>49.115068493150687</v>
      </c>
    </row>
    <row r="92" spans="1:12" ht="24" customHeight="1">
      <c r="A92" s="5">
        <v>90</v>
      </c>
      <c r="B92" s="15" t="s">
        <v>74</v>
      </c>
      <c r="C92" s="15" t="s">
        <v>75</v>
      </c>
      <c r="D92" s="16">
        <v>27659</v>
      </c>
      <c r="E92" s="30" t="s">
        <v>12</v>
      </c>
      <c r="F92" s="15" t="s">
        <v>12</v>
      </c>
      <c r="G92" s="6"/>
      <c r="H92" s="28" t="s">
        <v>18</v>
      </c>
      <c r="I92" s="6"/>
      <c r="J92" s="6"/>
      <c r="K92" s="6"/>
      <c r="L92" s="17">
        <f ca="1">(L$1-D92)/365</f>
        <v>50.471232876712328</v>
      </c>
    </row>
    <row r="93" spans="1:12" ht="24" customHeight="1">
      <c r="A93" s="5">
        <v>91</v>
      </c>
      <c r="B93" s="15" t="s">
        <v>307</v>
      </c>
      <c r="C93" s="15" t="s">
        <v>309</v>
      </c>
      <c r="D93" s="16">
        <v>27534</v>
      </c>
      <c r="E93" s="28" t="s">
        <v>18</v>
      </c>
      <c r="F93" s="15" t="s">
        <v>12</v>
      </c>
      <c r="G93" s="6" t="s">
        <v>12</v>
      </c>
      <c r="H93" s="28" t="s">
        <v>18</v>
      </c>
      <c r="I93" s="15"/>
      <c r="J93" s="34" t="s">
        <v>12</v>
      </c>
      <c r="K93" s="15" t="s">
        <v>42</v>
      </c>
      <c r="L93" s="17">
        <f ca="1">(L$1-D93)/365</f>
        <v>50.813698630136983</v>
      </c>
    </row>
    <row r="94" spans="1:12" ht="24" customHeight="1">
      <c r="A94" s="5">
        <v>92</v>
      </c>
      <c r="B94" s="15" t="s">
        <v>26</v>
      </c>
      <c r="C94" s="15" t="s">
        <v>187</v>
      </c>
      <c r="D94" s="16">
        <v>34318</v>
      </c>
      <c r="E94" s="30" t="s">
        <v>12</v>
      </c>
      <c r="F94" s="15" t="s">
        <v>12</v>
      </c>
      <c r="G94" s="6"/>
      <c r="H94" s="30" t="s">
        <v>12</v>
      </c>
      <c r="I94" s="15" t="s">
        <v>27</v>
      </c>
      <c r="J94" s="6"/>
      <c r="K94" s="6"/>
      <c r="L94" s="17">
        <f ca="1">(L$1-D94)/365</f>
        <v>32.227397260273975</v>
      </c>
    </row>
    <row r="95" spans="1:12" ht="24" customHeight="1">
      <c r="A95" s="5">
        <v>93</v>
      </c>
      <c r="B95" s="28" t="s">
        <v>364</v>
      </c>
      <c r="C95" s="15" t="s">
        <v>360</v>
      </c>
      <c r="D95" s="16">
        <v>25964</v>
      </c>
      <c r="E95" s="30" t="s">
        <v>12</v>
      </c>
      <c r="F95" s="15" t="s">
        <v>18</v>
      </c>
      <c r="G95" s="6"/>
      <c r="H95" s="30" t="s">
        <v>12</v>
      </c>
      <c r="I95" s="15" t="s">
        <v>44</v>
      </c>
      <c r="J95" s="6"/>
      <c r="K95" s="15"/>
      <c r="L95" s="17"/>
    </row>
    <row r="96" spans="1:12" ht="24" customHeight="1">
      <c r="A96" s="5">
        <v>94</v>
      </c>
      <c r="B96" s="15" t="s">
        <v>158</v>
      </c>
      <c r="C96" s="15" t="s">
        <v>159</v>
      </c>
      <c r="D96" s="16">
        <v>18532</v>
      </c>
      <c r="E96" s="30" t="s">
        <v>12</v>
      </c>
      <c r="F96" s="6" t="s">
        <v>12</v>
      </c>
      <c r="G96" s="15" t="s">
        <v>12</v>
      </c>
      <c r="H96" s="30" t="s">
        <v>12</v>
      </c>
      <c r="I96" s="6"/>
      <c r="J96" s="15" t="s">
        <v>12</v>
      </c>
      <c r="K96" s="19" t="s">
        <v>160</v>
      </c>
      <c r="L96" s="17">
        <f ca="1">(L$1-D96)/365</f>
        <v>75.476712328767121</v>
      </c>
    </row>
    <row r="97" spans="1:12" ht="24" customHeight="1">
      <c r="A97" s="5">
        <v>95</v>
      </c>
      <c r="B97" s="28" t="s">
        <v>353</v>
      </c>
      <c r="C97" s="15" t="s">
        <v>361</v>
      </c>
      <c r="D97" s="16">
        <v>40281</v>
      </c>
      <c r="E97" s="30" t="s">
        <v>12</v>
      </c>
      <c r="F97" s="15" t="s">
        <v>12</v>
      </c>
      <c r="G97" s="6"/>
      <c r="H97" s="30" t="s">
        <v>12</v>
      </c>
      <c r="I97" s="15" t="s">
        <v>354</v>
      </c>
      <c r="J97" s="6"/>
      <c r="K97" s="15"/>
      <c r="L97" s="17"/>
    </row>
    <row r="98" spans="1:12" ht="24" customHeight="1">
      <c r="A98" s="5">
        <v>96</v>
      </c>
      <c r="B98" s="15" t="s">
        <v>120</v>
      </c>
      <c r="C98" s="15" t="s">
        <v>121</v>
      </c>
      <c r="D98" s="16">
        <v>39219</v>
      </c>
      <c r="E98" s="30" t="s">
        <v>12</v>
      </c>
      <c r="F98" s="15" t="s">
        <v>12</v>
      </c>
      <c r="G98" s="6"/>
      <c r="H98" s="30" t="s">
        <v>12</v>
      </c>
      <c r="I98" s="15" t="s">
        <v>119</v>
      </c>
      <c r="J98" s="6"/>
      <c r="K98" s="6"/>
      <c r="L98" s="17">
        <f ca="1">(L$1-D98)/365</f>
        <v>18.8</v>
      </c>
    </row>
    <row r="99" spans="1:12" ht="24" customHeight="1">
      <c r="A99" s="5">
        <v>97</v>
      </c>
      <c r="B99" s="15" t="s">
        <v>293</v>
      </c>
      <c r="C99" s="15" t="s">
        <v>294</v>
      </c>
      <c r="D99" s="16"/>
      <c r="E99" s="28" t="s">
        <v>18</v>
      </c>
      <c r="F99" s="15" t="s">
        <v>18</v>
      </c>
      <c r="G99" s="6" t="s">
        <v>12</v>
      </c>
      <c r="H99" s="28" t="s">
        <v>18</v>
      </c>
      <c r="I99" s="15"/>
      <c r="J99" s="34" t="s">
        <v>12</v>
      </c>
      <c r="K99" s="15" t="s">
        <v>19</v>
      </c>
      <c r="L99" s="17"/>
    </row>
    <row r="100" spans="1:12" ht="24" customHeight="1">
      <c r="A100" s="5">
        <v>98</v>
      </c>
      <c r="B100" s="15" t="s">
        <v>130</v>
      </c>
      <c r="C100" s="15" t="s">
        <v>131</v>
      </c>
      <c r="D100" s="16">
        <v>39484</v>
      </c>
      <c r="E100" s="30" t="s">
        <v>12</v>
      </c>
      <c r="F100" s="15" t="s">
        <v>12</v>
      </c>
      <c r="G100" s="6"/>
      <c r="H100" s="30" t="s">
        <v>12</v>
      </c>
      <c r="I100" s="15" t="s">
        <v>132</v>
      </c>
      <c r="J100" s="6"/>
      <c r="K100" s="19" t="s">
        <v>133</v>
      </c>
      <c r="L100" s="17">
        <f ca="1">(L$1-D100)/365</f>
        <v>18.073972602739726</v>
      </c>
    </row>
    <row r="101" spans="1:12" ht="24" customHeight="1">
      <c r="A101" s="5">
        <v>99</v>
      </c>
      <c r="B101" s="15" t="s">
        <v>35</v>
      </c>
      <c r="C101" s="15" t="s">
        <v>205</v>
      </c>
      <c r="D101" s="16">
        <v>37449</v>
      </c>
      <c r="E101" s="30" t="s">
        <v>12</v>
      </c>
      <c r="F101" s="15" t="s">
        <v>12</v>
      </c>
      <c r="G101" s="6"/>
      <c r="H101" s="28" t="s">
        <v>18</v>
      </c>
      <c r="I101" s="6"/>
      <c r="J101" s="30" t="s">
        <v>12</v>
      </c>
      <c r="K101" s="15" t="s">
        <v>36</v>
      </c>
      <c r="L101" s="17">
        <f ca="1">(L$1-D101)/365</f>
        <v>23.649315068493152</v>
      </c>
    </row>
    <row r="102" spans="1:12" ht="24" customHeight="1">
      <c r="A102" s="5">
        <v>100</v>
      </c>
      <c r="B102" s="15" t="s">
        <v>283</v>
      </c>
      <c r="C102" s="15" t="s">
        <v>284</v>
      </c>
      <c r="D102" s="16">
        <v>19319</v>
      </c>
      <c r="E102" s="30" t="s">
        <v>12</v>
      </c>
      <c r="F102" s="15" t="s">
        <v>12</v>
      </c>
      <c r="G102" s="6"/>
      <c r="H102" s="15"/>
      <c r="I102" s="15"/>
      <c r="J102" s="6" t="s">
        <v>12</v>
      </c>
      <c r="K102" s="15" t="s">
        <v>55</v>
      </c>
      <c r="L102" s="17">
        <f ca="1">(L$1-D102)/365</f>
        <v>73.320547945205476</v>
      </c>
    </row>
    <row r="103" spans="1:12" ht="24" customHeight="1">
      <c r="A103" s="5">
        <v>101</v>
      </c>
      <c r="B103" s="18" t="s">
        <v>216</v>
      </c>
      <c r="C103" s="15" t="s">
        <v>204</v>
      </c>
      <c r="D103" s="6"/>
      <c r="E103" s="30" t="s">
        <v>12</v>
      </c>
      <c r="F103" s="15" t="s">
        <v>12</v>
      </c>
      <c r="G103" s="6"/>
      <c r="H103" s="30" t="s">
        <v>12</v>
      </c>
      <c r="I103" s="15" t="s">
        <v>44</v>
      </c>
      <c r="J103" s="15" t="s">
        <v>12</v>
      </c>
      <c r="K103" s="15" t="s">
        <v>36</v>
      </c>
      <c r="L103" s="17"/>
    </row>
    <row r="104" spans="1:12" ht="24" customHeight="1">
      <c r="A104" s="5">
        <v>102</v>
      </c>
      <c r="B104" s="15" t="s">
        <v>285</v>
      </c>
      <c r="C104" s="15" t="s">
        <v>286</v>
      </c>
      <c r="D104" s="16">
        <v>41226</v>
      </c>
      <c r="E104" s="30" t="s">
        <v>12</v>
      </c>
      <c r="F104" s="15" t="s">
        <v>12</v>
      </c>
      <c r="G104" s="6"/>
      <c r="H104" s="30" t="s">
        <v>12</v>
      </c>
      <c r="I104" s="15" t="s">
        <v>119</v>
      </c>
      <c r="J104" s="6"/>
      <c r="K104" s="15"/>
      <c r="L104" s="17">
        <f ca="1">(L$1-D104)/365</f>
        <v>13.301369863013699</v>
      </c>
    </row>
    <row r="105" spans="1:12" ht="24" customHeight="1">
      <c r="A105" s="5">
        <v>103</v>
      </c>
      <c r="B105" s="15" t="s">
        <v>68</v>
      </c>
      <c r="C105" s="15" t="s">
        <v>69</v>
      </c>
      <c r="D105" s="16">
        <v>29908</v>
      </c>
      <c r="E105" s="28" t="s">
        <v>18</v>
      </c>
      <c r="F105" s="15" t="s">
        <v>18</v>
      </c>
      <c r="G105" s="101" t="s">
        <v>70</v>
      </c>
      <c r="H105" s="28" t="s">
        <v>18</v>
      </c>
      <c r="I105" s="6"/>
      <c r="J105" s="15" t="s">
        <v>18</v>
      </c>
      <c r="K105" s="6"/>
      <c r="L105" s="17">
        <f ca="1">(L$1-D105)/365</f>
        <v>44.30958904109589</v>
      </c>
    </row>
    <row r="106" spans="1:12" ht="24" customHeight="1">
      <c r="A106" s="5">
        <v>104</v>
      </c>
      <c r="B106" s="20" t="s">
        <v>67</v>
      </c>
      <c r="C106" s="20" t="s">
        <v>202</v>
      </c>
      <c r="D106" s="21">
        <v>28828</v>
      </c>
      <c r="E106" s="32" t="s">
        <v>12</v>
      </c>
      <c r="F106" s="20" t="s">
        <v>12</v>
      </c>
      <c r="G106" s="10"/>
      <c r="H106" s="29" t="s">
        <v>18</v>
      </c>
      <c r="I106" s="10"/>
      <c r="J106" s="20" t="s">
        <v>18</v>
      </c>
      <c r="K106" s="10"/>
      <c r="L106" s="17">
        <f ca="1">(L$1-D106)/365</f>
        <v>47.268493150684932</v>
      </c>
    </row>
    <row r="107" spans="1:12" ht="24" customHeight="1">
      <c r="A107" s="5">
        <v>105</v>
      </c>
      <c r="B107" s="20" t="s">
        <v>21</v>
      </c>
      <c r="C107" s="20" t="s">
        <v>214</v>
      </c>
      <c r="D107" s="21">
        <v>24072</v>
      </c>
      <c r="E107" s="32" t="s">
        <v>12</v>
      </c>
      <c r="F107" s="20" t="s">
        <v>12</v>
      </c>
      <c r="G107" s="10"/>
      <c r="H107" s="32" t="s">
        <v>12</v>
      </c>
      <c r="I107" s="20" t="s">
        <v>22</v>
      </c>
      <c r="J107" s="10"/>
      <c r="K107" s="10"/>
      <c r="L107" s="17">
        <f ca="1">(L$1-D107)/365</f>
        <v>60.298630136986304</v>
      </c>
    </row>
    <row r="108" spans="1:12" ht="24" customHeight="1">
      <c r="A108" s="5">
        <v>106</v>
      </c>
      <c r="B108" s="20" t="s">
        <v>23</v>
      </c>
      <c r="C108" s="20" t="s">
        <v>186</v>
      </c>
      <c r="D108" s="21">
        <v>35592</v>
      </c>
      <c r="E108" s="32" t="s">
        <v>12</v>
      </c>
      <c r="F108" s="20" t="s">
        <v>18</v>
      </c>
      <c r="G108" s="10"/>
      <c r="H108" s="32" t="s">
        <v>12</v>
      </c>
      <c r="I108" s="20" t="s">
        <v>346</v>
      </c>
      <c r="J108" s="10"/>
      <c r="K108" s="10"/>
      <c r="L108" s="17">
        <f ca="1">(L$1-D108)/365</f>
        <v>28.736986301369864</v>
      </c>
    </row>
    <row r="109" spans="1:12" ht="24" customHeight="1">
      <c r="A109" s="5">
        <v>107</v>
      </c>
      <c r="B109" s="22" t="s">
        <v>244</v>
      </c>
      <c r="C109" s="20" t="s">
        <v>254</v>
      </c>
      <c r="D109" s="21">
        <v>35325</v>
      </c>
      <c r="E109" s="32" t="s">
        <v>12</v>
      </c>
      <c r="F109" s="20" t="s">
        <v>12</v>
      </c>
      <c r="G109" s="10"/>
      <c r="H109" s="29" t="s">
        <v>18</v>
      </c>
      <c r="I109" s="20"/>
      <c r="J109" s="10"/>
      <c r="K109" s="20"/>
      <c r="L109" s="17">
        <f ca="1">(L$1-D109)/365</f>
        <v>29.468493150684932</v>
      </c>
    </row>
    <row r="110" spans="1:12" ht="24" customHeight="1">
      <c r="A110" s="5">
        <v>108</v>
      </c>
      <c r="B110" s="20" t="s">
        <v>108</v>
      </c>
      <c r="C110" s="20" t="s">
        <v>109</v>
      </c>
      <c r="D110" s="21">
        <v>28131</v>
      </c>
      <c r="E110" s="29" t="s">
        <v>18</v>
      </c>
      <c r="F110" s="20" t="s">
        <v>12</v>
      </c>
      <c r="G110" s="10"/>
      <c r="H110" s="32" t="s">
        <v>12</v>
      </c>
      <c r="I110" s="20" t="s">
        <v>44</v>
      </c>
      <c r="J110" s="10"/>
      <c r="K110" s="103" t="s">
        <v>110</v>
      </c>
      <c r="L110" s="17">
        <f ca="1">(L$1-D110)/365</f>
        <v>49.178082191780824</v>
      </c>
    </row>
    <row r="111" spans="1:12" ht="24" customHeight="1">
      <c r="A111" s="5">
        <v>109</v>
      </c>
      <c r="B111" s="20" t="s">
        <v>46</v>
      </c>
      <c r="C111" s="20" t="s">
        <v>199</v>
      </c>
      <c r="D111" s="21">
        <v>21167</v>
      </c>
      <c r="E111" s="32" t="s">
        <v>12</v>
      </c>
      <c r="F111" s="20" t="s">
        <v>12</v>
      </c>
      <c r="G111" s="10"/>
      <c r="H111" s="29" t="s">
        <v>18</v>
      </c>
      <c r="I111" s="10"/>
      <c r="J111" s="32" t="s">
        <v>12</v>
      </c>
      <c r="K111" s="20" t="s">
        <v>19</v>
      </c>
      <c r="L111" s="17">
        <f ca="1">(L$1-D111)/365</f>
        <v>68.257534246575347</v>
      </c>
    </row>
    <row r="112" spans="1:12" ht="24" customHeight="1">
      <c r="A112" s="5">
        <v>110</v>
      </c>
      <c r="B112" s="20" t="s">
        <v>40</v>
      </c>
      <c r="C112" s="20" t="s">
        <v>211</v>
      </c>
      <c r="D112" s="21">
        <v>23619</v>
      </c>
      <c r="E112" s="32" t="s">
        <v>12</v>
      </c>
      <c r="F112" s="20" t="s">
        <v>12</v>
      </c>
      <c r="G112" s="10"/>
      <c r="H112" s="32" t="s">
        <v>12</v>
      </c>
      <c r="I112" s="20" t="s">
        <v>41</v>
      </c>
      <c r="J112" s="10"/>
      <c r="K112" s="20" t="s">
        <v>42</v>
      </c>
      <c r="L112" s="17">
        <f ca="1">(L$1-D112)/365</f>
        <v>61.539726027397258</v>
      </c>
    </row>
    <row r="113" spans="1:12" ht="24" customHeight="1">
      <c r="A113" s="5">
        <v>111</v>
      </c>
      <c r="B113" s="20" t="s">
        <v>304</v>
      </c>
      <c r="C113" s="10"/>
      <c r="D113" s="21">
        <v>42037</v>
      </c>
      <c r="E113" s="29" t="s">
        <v>18</v>
      </c>
      <c r="F113" s="20" t="s">
        <v>18</v>
      </c>
      <c r="G113" s="20" t="s">
        <v>12</v>
      </c>
      <c r="H113" s="10"/>
      <c r="I113" s="10"/>
      <c r="J113" s="20" t="s">
        <v>18</v>
      </c>
      <c r="K113" s="20" t="s">
        <v>30</v>
      </c>
      <c r="L113" s="17">
        <f ca="1">(L$1-D113)/365</f>
        <v>11.079452054794521</v>
      </c>
    </row>
    <row r="114" spans="1:12" ht="24" customHeight="1">
      <c r="A114" s="5">
        <v>112</v>
      </c>
      <c r="B114" s="20" t="s">
        <v>43</v>
      </c>
      <c r="C114" s="20"/>
      <c r="D114" s="21">
        <v>24357</v>
      </c>
      <c r="E114" s="32" t="s">
        <v>12</v>
      </c>
      <c r="F114" s="20" t="s">
        <v>12</v>
      </c>
      <c r="G114" s="10"/>
      <c r="H114" s="32" t="s">
        <v>12</v>
      </c>
      <c r="I114" s="20" t="s">
        <v>44</v>
      </c>
      <c r="J114" s="10"/>
      <c r="K114" s="10"/>
      <c r="L114" s="17">
        <f ca="1">(L$1-D114)/365</f>
        <v>59.517808219178079</v>
      </c>
    </row>
    <row r="115" spans="1:12" ht="24" customHeight="1">
      <c r="A115" s="5">
        <v>113</v>
      </c>
      <c r="B115" s="22" t="s">
        <v>106</v>
      </c>
      <c r="C115" s="20" t="s">
        <v>107</v>
      </c>
      <c r="D115" s="21">
        <v>28990</v>
      </c>
      <c r="E115" s="32" t="s">
        <v>12</v>
      </c>
      <c r="F115" s="20" t="s">
        <v>12</v>
      </c>
      <c r="G115" s="10"/>
      <c r="H115" s="29" t="s">
        <v>18</v>
      </c>
      <c r="I115" s="10"/>
      <c r="J115" s="32" t="s">
        <v>12</v>
      </c>
      <c r="K115" s="20" t="s">
        <v>55</v>
      </c>
      <c r="L115" s="17">
        <f ca="1">(L$1-D115)/365</f>
        <v>46.824657534246576</v>
      </c>
    </row>
    <row r="116" spans="1:12" ht="24" customHeight="1">
      <c r="A116" s="5">
        <v>114</v>
      </c>
      <c r="B116" s="22" t="s">
        <v>52</v>
      </c>
      <c r="C116" s="20" t="s">
        <v>193</v>
      </c>
      <c r="D116" s="21">
        <v>29825</v>
      </c>
      <c r="E116" s="32" t="s">
        <v>12</v>
      </c>
      <c r="F116" s="20" t="s">
        <v>12</v>
      </c>
      <c r="G116" s="10"/>
      <c r="H116" s="29" t="s">
        <v>18</v>
      </c>
      <c r="I116" s="10"/>
      <c r="J116" s="32" t="s">
        <v>12</v>
      </c>
      <c r="K116" s="103" t="s">
        <v>53</v>
      </c>
      <c r="L116" s="17">
        <f ca="1">(L$1-D116)/365</f>
        <v>44.536986301369865</v>
      </c>
    </row>
    <row r="117" spans="1:12" ht="24" customHeight="1">
      <c r="A117" s="5">
        <v>115</v>
      </c>
      <c r="B117" s="20" t="s">
        <v>248</v>
      </c>
      <c r="C117" s="20" t="s">
        <v>257</v>
      </c>
      <c r="D117" s="21">
        <v>36729</v>
      </c>
      <c r="E117" s="32" t="s">
        <v>12</v>
      </c>
      <c r="F117" s="20" t="s">
        <v>12</v>
      </c>
      <c r="G117" s="6"/>
      <c r="H117" s="32" t="s">
        <v>12</v>
      </c>
      <c r="I117" s="20" t="s">
        <v>22</v>
      </c>
      <c r="J117" s="10"/>
      <c r="K117" s="20"/>
      <c r="L117" s="17">
        <f ca="1">(L$1-D117)/365</f>
        <v>25.621917808219177</v>
      </c>
    </row>
    <row r="118" spans="1:12" ht="24" customHeight="1">
      <c r="A118" s="5">
        <v>116</v>
      </c>
      <c r="B118" s="20" t="s">
        <v>305</v>
      </c>
      <c r="C118" s="20" t="s">
        <v>308</v>
      </c>
      <c r="D118" s="21">
        <v>33784</v>
      </c>
      <c r="E118" s="32" t="s">
        <v>12</v>
      </c>
      <c r="F118" s="20" t="s">
        <v>12</v>
      </c>
      <c r="G118" s="10"/>
      <c r="H118" s="29" t="s">
        <v>18</v>
      </c>
      <c r="I118" s="20"/>
      <c r="J118" s="36" t="s">
        <v>12</v>
      </c>
      <c r="K118" s="103" t="s">
        <v>306</v>
      </c>
      <c r="L118" s="17">
        <f ca="1">(L$1-D118)/365</f>
        <v>33.69041095890411</v>
      </c>
    </row>
    <row r="119" spans="1:12" ht="24" customHeight="1">
      <c r="A119" s="5">
        <v>117</v>
      </c>
      <c r="B119" s="22" t="s">
        <v>181</v>
      </c>
      <c r="C119" s="20" t="s">
        <v>182</v>
      </c>
      <c r="D119" s="21">
        <v>27930</v>
      </c>
      <c r="E119" s="32" t="s">
        <v>12</v>
      </c>
      <c r="F119" s="20" t="s">
        <v>18</v>
      </c>
      <c r="G119" s="20" t="s">
        <v>12</v>
      </c>
      <c r="H119" s="32" t="s">
        <v>12</v>
      </c>
      <c r="I119" s="102" t="s">
        <v>240</v>
      </c>
      <c r="J119" s="10"/>
      <c r="K119" s="10"/>
      <c r="L119" s="17">
        <f ca="1">(L$1-D119)/365</f>
        <v>49.728767123287675</v>
      </c>
    </row>
    <row r="120" spans="1:12" ht="24" customHeight="1">
      <c r="A120" s="5">
        <v>118</v>
      </c>
      <c r="B120" s="20" t="s">
        <v>139</v>
      </c>
      <c r="C120" s="20" t="s">
        <v>140</v>
      </c>
      <c r="D120" s="21">
        <v>27972</v>
      </c>
      <c r="E120" s="32" t="s">
        <v>12</v>
      </c>
      <c r="F120" s="20" t="s">
        <v>12</v>
      </c>
      <c r="G120" s="10"/>
      <c r="H120" s="32" t="s">
        <v>12</v>
      </c>
      <c r="I120" s="20" t="s">
        <v>51</v>
      </c>
      <c r="J120" s="10"/>
      <c r="K120" s="10"/>
      <c r="L120" s="17">
        <f ca="1">(L$1-D120)/365</f>
        <v>49.613698630136987</v>
      </c>
    </row>
    <row r="121" spans="1:12" ht="24" customHeight="1">
      <c r="A121" s="5">
        <v>119</v>
      </c>
      <c r="B121" s="20" t="s">
        <v>298</v>
      </c>
      <c r="C121" s="20" t="s">
        <v>299</v>
      </c>
      <c r="D121" s="21">
        <v>23781</v>
      </c>
      <c r="E121" s="29" t="s">
        <v>18</v>
      </c>
      <c r="F121" s="20" t="s">
        <v>12</v>
      </c>
      <c r="G121" s="10" t="s">
        <v>12</v>
      </c>
      <c r="H121" s="29" t="s">
        <v>18</v>
      </c>
      <c r="I121" s="20"/>
      <c r="J121" s="36" t="s">
        <v>12</v>
      </c>
      <c r="K121" s="103" t="s">
        <v>53</v>
      </c>
      <c r="L121" s="17">
        <f ca="1">(L$1-D121)/365</f>
        <v>61.095890410958901</v>
      </c>
    </row>
    <row r="122" spans="1:12" ht="24" customHeight="1">
      <c r="A122" s="5">
        <v>120</v>
      </c>
      <c r="B122" s="29" t="s">
        <v>379</v>
      </c>
      <c r="C122" s="20" t="s">
        <v>370</v>
      </c>
      <c r="D122" s="21"/>
      <c r="E122" s="32" t="s">
        <v>18</v>
      </c>
      <c r="F122" s="20" t="s">
        <v>12</v>
      </c>
      <c r="G122" s="10" t="s">
        <v>12</v>
      </c>
      <c r="H122" s="32" t="s">
        <v>18</v>
      </c>
      <c r="I122" s="20"/>
      <c r="J122" s="10" t="s">
        <v>12</v>
      </c>
      <c r="K122" s="103" t="s">
        <v>368</v>
      </c>
      <c r="L122" s="17"/>
    </row>
    <row r="123" spans="1:12" ht="24" customHeight="1">
      <c r="A123" s="5">
        <v>121</v>
      </c>
      <c r="B123" s="20" t="s">
        <v>37</v>
      </c>
      <c r="C123" s="20" t="s">
        <v>192</v>
      </c>
      <c r="D123" s="21">
        <v>24475</v>
      </c>
      <c r="E123" s="32" t="s">
        <v>12</v>
      </c>
      <c r="F123" s="20" t="s">
        <v>12</v>
      </c>
      <c r="G123" s="10"/>
      <c r="H123" s="29" t="s">
        <v>18</v>
      </c>
      <c r="I123" s="10"/>
      <c r="J123" s="10"/>
      <c r="K123" s="10"/>
      <c r="L123" s="17">
        <f ca="1">(L$1-D123)/365</f>
        <v>59.194520547945203</v>
      </c>
    </row>
    <row r="124" spans="1:12" ht="24" customHeight="1">
      <c r="A124" s="5">
        <v>122</v>
      </c>
      <c r="B124" s="20" t="s">
        <v>24</v>
      </c>
      <c r="C124" s="20" t="s">
        <v>161</v>
      </c>
      <c r="D124" s="21">
        <v>40453</v>
      </c>
      <c r="E124" s="32" t="s">
        <v>12</v>
      </c>
      <c r="F124" s="20" t="s">
        <v>18</v>
      </c>
      <c r="G124" s="20" t="s">
        <v>12</v>
      </c>
      <c r="H124" s="32" t="s">
        <v>12</v>
      </c>
      <c r="I124" s="20" t="s">
        <v>25</v>
      </c>
      <c r="J124" s="10"/>
      <c r="K124" s="10"/>
      <c r="L124" s="17">
        <f ca="1">(L$1-D124)/365</f>
        <v>15.419178082191781</v>
      </c>
    </row>
    <row r="125" spans="1:12" ht="24" customHeight="1">
      <c r="A125" s="5">
        <v>123</v>
      </c>
      <c r="B125" s="22" t="s">
        <v>179</v>
      </c>
      <c r="C125" s="20" t="s">
        <v>189</v>
      </c>
      <c r="D125" s="21">
        <v>29221</v>
      </c>
      <c r="E125" s="32" t="s">
        <v>12</v>
      </c>
      <c r="F125" s="20" t="s">
        <v>12</v>
      </c>
      <c r="G125" s="10"/>
      <c r="H125" s="32" t="s">
        <v>12</v>
      </c>
      <c r="I125" s="20" t="s">
        <v>41</v>
      </c>
      <c r="J125" s="10"/>
      <c r="K125" s="20" t="s">
        <v>88</v>
      </c>
      <c r="L125" s="17">
        <f ca="1">(L$1-D125)/365</f>
        <v>46.19178082191781</v>
      </c>
    </row>
    <row r="126" spans="1:12" ht="24" customHeight="1">
      <c r="A126" s="5">
        <v>124</v>
      </c>
      <c r="B126" s="22" t="s">
        <v>153</v>
      </c>
      <c r="C126" s="20" t="s">
        <v>154</v>
      </c>
      <c r="D126" s="21">
        <v>29473</v>
      </c>
      <c r="E126" s="32" t="s">
        <v>12</v>
      </c>
      <c r="F126" s="20" t="s">
        <v>12</v>
      </c>
      <c r="G126" s="10"/>
      <c r="H126" s="32" t="s">
        <v>12</v>
      </c>
      <c r="I126" s="20" t="s">
        <v>155</v>
      </c>
      <c r="J126" s="10"/>
      <c r="K126" s="10"/>
      <c r="L126" s="17">
        <f ca="1">(L$1-D126)/365</f>
        <v>45.5013698630137</v>
      </c>
    </row>
    <row r="127" spans="1:12" ht="24" customHeight="1">
      <c r="A127" s="5">
        <v>125</v>
      </c>
      <c r="B127" s="20" t="s">
        <v>28</v>
      </c>
      <c r="C127" s="20" t="s">
        <v>190</v>
      </c>
      <c r="D127" s="21">
        <v>30364</v>
      </c>
      <c r="E127" s="32" t="s">
        <v>12</v>
      </c>
      <c r="F127" s="20" t="s">
        <v>12</v>
      </c>
      <c r="G127" s="20" t="s">
        <v>12</v>
      </c>
      <c r="H127" s="32" t="s">
        <v>12</v>
      </c>
      <c r="I127" s="20" t="s">
        <v>29</v>
      </c>
      <c r="J127" s="10"/>
      <c r="K127" s="20" t="s">
        <v>30</v>
      </c>
      <c r="L127" s="104">
        <f ca="1">(L$1-D127)/365</f>
        <v>43.060273972602737</v>
      </c>
    </row>
    <row r="128" spans="1:12" ht="24" customHeight="1">
      <c r="A128" s="5">
        <v>126</v>
      </c>
      <c r="B128" s="20" t="s">
        <v>78</v>
      </c>
      <c r="C128" s="20" t="s">
        <v>79</v>
      </c>
      <c r="D128" s="10"/>
      <c r="E128" s="29" t="s">
        <v>18</v>
      </c>
      <c r="F128" s="20" t="s">
        <v>12</v>
      </c>
      <c r="G128" s="105" t="s">
        <v>70</v>
      </c>
      <c r="H128" s="29" t="s">
        <v>18</v>
      </c>
      <c r="I128" s="10"/>
      <c r="J128" s="20" t="s">
        <v>18</v>
      </c>
      <c r="K128" s="10"/>
      <c r="L128" s="104"/>
    </row>
    <row r="129" spans="1:12" ht="24" customHeight="1">
      <c r="A129" s="5">
        <v>127</v>
      </c>
      <c r="B129" s="23" t="s">
        <v>232</v>
      </c>
      <c r="C129" s="20" t="s">
        <v>233</v>
      </c>
      <c r="D129" s="21">
        <v>27461</v>
      </c>
      <c r="E129" s="32" t="s">
        <v>12</v>
      </c>
      <c r="F129" s="20" t="s">
        <v>12</v>
      </c>
      <c r="G129" s="10"/>
      <c r="H129" s="32" t="s">
        <v>12</v>
      </c>
      <c r="I129" s="20" t="s">
        <v>234</v>
      </c>
      <c r="J129" s="10"/>
      <c r="K129" s="20"/>
      <c r="L129" s="104">
        <f ca="1">(L$1-D129)/365</f>
        <v>51.013698630136986</v>
      </c>
    </row>
    <row r="130" spans="1:12" ht="24" customHeight="1">
      <c r="A130" s="5">
        <v>128</v>
      </c>
      <c r="B130" s="20" t="s">
        <v>376</v>
      </c>
      <c r="C130" s="20" t="s">
        <v>377</v>
      </c>
      <c r="D130" s="21">
        <v>34053</v>
      </c>
      <c r="E130" s="32" t="s">
        <v>12</v>
      </c>
      <c r="F130" s="32" t="s">
        <v>12</v>
      </c>
      <c r="G130" s="10"/>
      <c r="H130" s="29" t="s">
        <v>18</v>
      </c>
      <c r="I130" s="20"/>
      <c r="J130" s="36" t="s">
        <v>12</v>
      </c>
      <c r="K130" s="103" t="s">
        <v>378</v>
      </c>
      <c r="L130" s="104">
        <f ca="1">(L$1-D130)/365</f>
        <v>32.953424657534249</v>
      </c>
    </row>
    <row r="131" spans="1:12" ht="24" customHeight="1">
      <c r="A131" s="5">
        <v>129</v>
      </c>
      <c r="B131" s="22" t="s">
        <v>80</v>
      </c>
      <c r="C131" s="20" t="s">
        <v>81</v>
      </c>
      <c r="D131" s="21">
        <v>29295</v>
      </c>
      <c r="E131" s="32" t="s">
        <v>12</v>
      </c>
      <c r="F131" s="20" t="s">
        <v>12</v>
      </c>
      <c r="G131" s="10"/>
      <c r="H131" s="29" t="s">
        <v>18</v>
      </c>
      <c r="I131" s="10"/>
      <c r="J131" s="20" t="s">
        <v>18</v>
      </c>
      <c r="K131" s="10"/>
      <c r="L131" s="104">
        <f ca="1">(L$1-D131)/365</f>
        <v>45.989041095890414</v>
      </c>
    </row>
    <row r="132" spans="1:12" ht="24" customHeight="1">
      <c r="A132" s="5">
        <v>130</v>
      </c>
      <c r="B132" s="20" t="s">
        <v>128</v>
      </c>
      <c r="C132" s="20" t="s">
        <v>129</v>
      </c>
      <c r="D132" s="21">
        <v>36955</v>
      </c>
      <c r="E132" s="32" t="s">
        <v>12</v>
      </c>
      <c r="F132" s="20" t="s">
        <v>12</v>
      </c>
      <c r="G132" s="10"/>
      <c r="H132" s="32" t="s">
        <v>12</v>
      </c>
      <c r="I132" s="20" t="s">
        <v>51</v>
      </c>
      <c r="J132" s="10"/>
      <c r="K132" s="10"/>
      <c r="L132" s="104">
        <f ca="1">(L$1-D132)/365</f>
        <v>25.002739726027396</v>
      </c>
    </row>
    <row r="133" spans="1:12" ht="24" customHeight="1">
      <c r="A133" s="5">
        <v>131</v>
      </c>
      <c r="B133" s="29" t="s">
        <v>350</v>
      </c>
      <c r="C133" s="20" t="s">
        <v>359</v>
      </c>
      <c r="D133" s="21">
        <v>27601</v>
      </c>
      <c r="E133" s="32" t="s">
        <v>12</v>
      </c>
      <c r="F133" s="20" t="s">
        <v>12</v>
      </c>
      <c r="G133" s="10"/>
      <c r="H133" s="29" t="s">
        <v>18</v>
      </c>
      <c r="I133" s="20"/>
      <c r="J133" s="10" t="s">
        <v>18</v>
      </c>
      <c r="K133" s="20"/>
      <c r="L133" s="104"/>
    </row>
    <row r="134" spans="1:12" ht="24" customHeight="1">
      <c r="A134" s="5">
        <v>132</v>
      </c>
      <c r="B134" s="20" t="s">
        <v>144</v>
      </c>
      <c r="C134" s="20" t="s">
        <v>145</v>
      </c>
      <c r="D134" s="21">
        <v>39329</v>
      </c>
      <c r="E134" s="32" t="s">
        <v>12</v>
      </c>
      <c r="F134" s="20" t="s">
        <v>12</v>
      </c>
      <c r="G134" s="10"/>
      <c r="H134" s="32" t="s">
        <v>12</v>
      </c>
      <c r="I134" s="102" t="s">
        <v>146</v>
      </c>
      <c r="J134" s="10"/>
      <c r="K134" s="10"/>
      <c r="L134" s="104">
        <f ca="1">(L$1-D134)/365</f>
        <v>18.4986301369863</v>
      </c>
    </row>
    <row r="135" spans="1:12" ht="24" customHeight="1">
      <c r="A135" s="5">
        <v>133</v>
      </c>
      <c r="B135" s="20" t="s">
        <v>103</v>
      </c>
      <c r="C135" s="20" t="s">
        <v>104</v>
      </c>
      <c r="D135" s="21">
        <v>22553</v>
      </c>
      <c r="E135" s="32" t="s">
        <v>12</v>
      </c>
      <c r="F135" s="20" t="s">
        <v>12</v>
      </c>
      <c r="G135" s="10"/>
      <c r="H135" s="29" t="s">
        <v>18</v>
      </c>
      <c r="I135" s="10"/>
      <c r="J135" s="32" t="s">
        <v>12</v>
      </c>
      <c r="K135" s="20" t="s">
        <v>55</v>
      </c>
      <c r="L135" s="104">
        <f ca="1">(L$1-D135)/365</f>
        <v>64.460273972602735</v>
      </c>
    </row>
    <row r="136" spans="1:12" ht="24" customHeight="1">
      <c r="A136" s="5">
        <v>134</v>
      </c>
      <c r="B136" s="29" t="s">
        <v>356</v>
      </c>
      <c r="C136" s="20" t="s">
        <v>363</v>
      </c>
      <c r="D136" s="21">
        <v>37372</v>
      </c>
      <c r="E136" s="32" t="s">
        <v>12</v>
      </c>
      <c r="F136" s="20" t="s">
        <v>12</v>
      </c>
      <c r="G136" s="10" t="s">
        <v>12</v>
      </c>
      <c r="H136" s="32" t="s">
        <v>12</v>
      </c>
      <c r="I136" s="20" t="s">
        <v>357</v>
      </c>
      <c r="J136" s="10" t="s">
        <v>12</v>
      </c>
      <c r="K136" s="20" t="s">
        <v>34</v>
      </c>
      <c r="L136" s="104"/>
    </row>
    <row r="137" spans="1:12" ht="24" customHeight="1">
      <c r="A137" s="5">
        <v>135</v>
      </c>
      <c r="B137" s="22" t="s">
        <v>59</v>
      </c>
      <c r="C137" s="20" t="s">
        <v>213</v>
      </c>
      <c r="D137" s="21">
        <v>31620</v>
      </c>
      <c r="E137" s="32" t="s">
        <v>12</v>
      </c>
      <c r="F137" s="20" t="s">
        <v>12</v>
      </c>
      <c r="G137" s="10"/>
      <c r="H137" s="32" t="s">
        <v>12</v>
      </c>
      <c r="I137" s="20" t="s">
        <v>239</v>
      </c>
      <c r="J137" s="10"/>
      <c r="K137" s="10"/>
      <c r="L137" s="104">
        <f ca="1">(L$1-D137)/365</f>
        <v>39.61917808219178</v>
      </c>
    </row>
    <row r="138" spans="1:12" ht="24" customHeight="1">
      <c r="A138" s="5">
        <v>136</v>
      </c>
      <c r="B138" s="20" t="s">
        <v>382</v>
      </c>
      <c r="C138" s="20" t="s">
        <v>383</v>
      </c>
      <c r="D138" s="21">
        <v>26540</v>
      </c>
      <c r="E138" s="29" t="s">
        <v>18</v>
      </c>
      <c r="F138" s="20" t="s">
        <v>12</v>
      </c>
      <c r="G138" s="10" t="s">
        <v>12</v>
      </c>
      <c r="H138" s="29" t="s">
        <v>18</v>
      </c>
      <c r="I138" s="20"/>
      <c r="J138" s="36" t="s">
        <v>12</v>
      </c>
      <c r="K138" s="20" t="s">
        <v>384</v>
      </c>
      <c r="L138" s="104">
        <f ca="1">(L$1-D138)/365</f>
        <v>53.536986301369865</v>
      </c>
    </row>
    <row r="139" spans="1:12" ht="24" customHeight="1">
      <c r="A139" s="5">
        <v>137</v>
      </c>
      <c r="B139" s="20" t="s">
        <v>275</v>
      </c>
      <c r="C139" s="20">
        <v>82988044977</v>
      </c>
      <c r="D139" s="21">
        <v>31079</v>
      </c>
      <c r="E139" s="29" t="s">
        <v>18</v>
      </c>
      <c r="F139" s="20" t="s">
        <v>12</v>
      </c>
      <c r="G139" s="10" t="s">
        <v>12</v>
      </c>
      <c r="H139" s="29" t="s">
        <v>18</v>
      </c>
      <c r="I139" s="20"/>
      <c r="J139" s="36" t="s">
        <v>12</v>
      </c>
      <c r="K139" s="20" t="s">
        <v>276</v>
      </c>
      <c r="L139" s="104">
        <f ca="1">(L$1-D139)/365</f>
        <v>41.101369863013701</v>
      </c>
    </row>
    <row r="140" spans="1:12" ht="24" customHeight="1">
      <c r="A140" s="5">
        <v>138</v>
      </c>
      <c r="B140" s="22" t="s">
        <v>58</v>
      </c>
      <c r="C140" s="20" t="s">
        <v>209</v>
      </c>
      <c r="D140" s="21">
        <v>21909</v>
      </c>
      <c r="E140" s="32" t="s">
        <v>12</v>
      </c>
      <c r="F140" s="20" t="s">
        <v>12</v>
      </c>
      <c r="G140" s="10"/>
      <c r="H140" s="32" t="s">
        <v>12</v>
      </c>
      <c r="I140" s="20" t="s">
        <v>345</v>
      </c>
      <c r="J140" s="10"/>
      <c r="K140" s="103" t="s">
        <v>53</v>
      </c>
      <c r="L140" s="104">
        <f ca="1">(L$1-D140)/365</f>
        <v>66.224657534246575</v>
      </c>
    </row>
    <row r="141" spans="1:12" ht="24" customHeight="1">
      <c r="A141" s="5">
        <v>139</v>
      </c>
      <c r="B141" s="20" t="s">
        <v>54</v>
      </c>
      <c r="C141" s="20" t="s">
        <v>191</v>
      </c>
      <c r="D141" s="21">
        <v>37405</v>
      </c>
      <c r="E141" s="32" t="s">
        <v>12</v>
      </c>
      <c r="F141" s="20" t="s">
        <v>12</v>
      </c>
      <c r="G141" s="10"/>
      <c r="H141" s="32" t="s">
        <v>12</v>
      </c>
      <c r="I141" s="20" t="s">
        <v>347</v>
      </c>
      <c r="J141" s="10"/>
      <c r="K141" s="20" t="s">
        <v>55</v>
      </c>
      <c r="L141" s="104">
        <f ca="1">(L$1-D141)/365</f>
        <v>23.769863013698629</v>
      </c>
    </row>
    <row r="142" spans="1:12" ht="24" customHeight="1" thickBot="1">
      <c r="A142" s="7">
        <v>140</v>
      </c>
      <c r="B142" s="24" t="s">
        <v>14</v>
      </c>
      <c r="C142" s="24" t="s">
        <v>185</v>
      </c>
      <c r="D142" s="25">
        <v>34514</v>
      </c>
      <c r="E142" s="100" t="s">
        <v>12</v>
      </c>
      <c r="F142" s="24" t="s">
        <v>12</v>
      </c>
      <c r="G142" s="8"/>
      <c r="H142" s="100" t="s">
        <v>12</v>
      </c>
      <c r="I142" s="24" t="s">
        <v>15</v>
      </c>
      <c r="J142" s="24" t="s">
        <v>12</v>
      </c>
      <c r="K142" s="24" t="s">
        <v>16</v>
      </c>
      <c r="L142" s="26">
        <f ca="1">(L$1-D142)/365</f>
        <v>31.69041095890411</v>
      </c>
    </row>
  </sheetData>
  <autoFilter ref="A2:L142" xr:uid="{A0691D1B-64AA-45A0-824E-9C1CF7BE5979}">
    <sortState xmlns:xlrd2="http://schemas.microsoft.com/office/spreadsheetml/2017/richdata2" ref="A3:L142">
      <sortCondition ref="B3:B142"/>
    </sortState>
  </autoFilter>
  <sortState xmlns:xlrd2="http://schemas.microsoft.com/office/spreadsheetml/2017/richdata2" ref="B3:L142">
    <sortCondition ref="B3:B142"/>
  </sortState>
  <pageMargins left="0.28000000000000003" right="0.15" top="0.14000000000000001" bottom="0.13" header="0.19" footer="0.13"/>
  <pageSetup paperSize="9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DA8C-56E5-40D3-A88B-17306111959A}">
  <dimension ref="A1:U70"/>
  <sheetViews>
    <sheetView zoomScaleNormal="100" workbookViewId="0">
      <selection activeCell="Y9" sqref="Y9"/>
    </sheetView>
  </sheetViews>
  <sheetFormatPr defaultColWidth="8.85546875" defaultRowHeight="12.75"/>
  <cols>
    <col min="1" max="1" width="7.140625" style="38" customWidth="1"/>
    <col min="2" max="2" width="16.7109375" style="38" customWidth="1"/>
    <col min="3" max="5" width="6.7109375" style="38" customWidth="1"/>
    <col min="6" max="6" width="16.7109375" style="38" customWidth="1"/>
    <col min="7" max="7" width="7.5703125" style="38" customWidth="1"/>
    <col min="8" max="8" width="5.7109375" style="38" customWidth="1"/>
    <col min="9" max="9" width="6.7109375" style="38" customWidth="1"/>
    <col min="10" max="10" width="16.7109375" style="38" customWidth="1"/>
    <col min="11" max="11" width="7.5703125" style="38" customWidth="1"/>
    <col min="12" max="13" width="6.7109375" style="38" customWidth="1"/>
    <col min="14" max="14" width="8.7109375" style="38" customWidth="1"/>
    <col min="15" max="15" width="6.7109375" style="38" customWidth="1"/>
    <col min="16" max="16" width="1.7109375" style="38" customWidth="1"/>
    <col min="17" max="17" width="19.7109375" style="38" hidden="1" customWidth="1"/>
    <col min="18" max="19" width="0" style="38" hidden="1" customWidth="1"/>
    <col min="20" max="20" width="20.140625" style="38" hidden="1" customWidth="1"/>
    <col min="21" max="21" width="11.5703125" style="38" hidden="1" customWidth="1"/>
    <col min="22" max="143" width="8.85546875" style="38"/>
    <col min="144" max="144" width="7.140625" style="38" customWidth="1"/>
    <col min="145" max="145" width="17.28515625" style="38" bestFit="1" customWidth="1"/>
    <col min="146" max="147" width="6.7109375" style="38" customWidth="1"/>
    <col min="148" max="148" width="8.5703125" style="38" bestFit="1" customWidth="1"/>
    <col min="149" max="149" width="5.7109375" style="38" customWidth="1"/>
    <col min="150" max="150" width="6.7109375" style="38" customWidth="1"/>
    <col min="151" max="152" width="5.7109375" style="38" customWidth="1"/>
    <col min="153" max="153" width="6.7109375" style="38" customWidth="1"/>
    <col min="154" max="155" width="5.7109375" style="38" customWidth="1"/>
    <col min="156" max="158" width="6.7109375" style="38" customWidth="1"/>
    <col min="159" max="163" width="5.7109375" style="38" customWidth="1"/>
    <col min="164" max="164" width="6.7109375" style="38" customWidth="1"/>
    <col min="165" max="165" width="1.7109375" style="38" customWidth="1"/>
    <col min="166" max="166" width="7.7109375" style="38" bestFit="1" customWidth="1"/>
    <col min="167" max="167" width="6.42578125" style="38" bestFit="1" customWidth="1"/>
    <col min="168" max="170" width="5.140625" style="38" bestFit="1" customWidth="1"/>
    <col min="171" max="171" width="5.7109375" style="38" customWidth="1"/>
    <col min="172" max="176" width="9.42578125" style="38" bestFit="1" customWidth="1"/>
    <col min="177" max="186" width="5.7109375" style="38" customWidth="1"/>
    <col min="187" max="399" width="8.85546875" style="38"/>
    <col min="400" max="400" width="7.140625" style="38" customWidth="1"/>
    <col min="401" max="401" width="17.28515625" style="38" bestFit="1" customWidth="1"/>
    <col min="402" max="403" width="6.7109375" style="38" customWidth="1"/>
    <col min="404" max="404" width="8.5703125" style="38" bestFit="1" customWidth="1"/>
    <col min="405" max="405" width="5.7109375" style="38" customWidth="1"/>
    <col min="406" max="406" width="6.7109375" style="38" customWidth="1"/>
    <col min="407" max="408" width="5.7109375" style="38" customWidth="1"/>
    <col min="409" max="409" width="6.7109375" style="38" customWidth="1"/>
    <col min="410" max="411" width="5.7109375" style="38" customWidth="1"/>
    <col min="412" max="414" width="6.7109375" style="38" customWidth="1"/>
    <col min="415" max="419" width="5.7109375" style="38" customWidth="1"/>
    <col min="420" max="420" width="6.7109375" style="38" customWidth="1"/>
    <col min="421" max="421" width="1.7109375" style="38" customWidth="1"/>
    <col min="422" max="422" width="7.7109375" style="38" bestFit="1" customWidth="1"/>
    <col min="423" max="423" width="6.42578125" style="38" bestFit="1" customWidth="1"/>
    <col min="424" max="426" width="5.140625" style="38" bestFit="1" customWidth="1"/>
    <col min="427" max="427" width="5.7109375" style="38" customWidth="1"/>
    <col min="428" max="432" width="9.42578125" style="38" bestFit="1" customWidth="1"/>
    <col min="433" max="442" width="5.7109375" style="38" customWidth="1"/>
    <col min="443" max="655" width="8.85546875" style="38"/>
    <col min="656" max="656" width="7.140625" style="38" customWidth="1"/>
    <col min="657" max="657" width="17.28515625" style="38" bestFit="1" customWidth="1"/>
    <col min="658" max="659" width="6.7109375" style="38" customWidth="1"/>
    <col min="660" max="660" width="8.5703125" style="38" bestFit="1" customWidth="1"/>
    <col min="661" max="661" width="5.7109375" style="38" customWidth="1"/>
    <col min="662" max="662" width="6.7109375" style="38" customWidth="1"/>
    <col min="663" max="664" width="5.7109375" style="38" customWidth="1"/>
    <col min="665" max="665" width="6.7109375" style="38" customWidth="1"/>
    <col min="666" max="667" width="5.7109375" style="38" customWidth="1"/>
    <col min="668" max="670" width="6.7109375" style="38" customWidth="1"/>
    <col min="671" max="675" width="5.7109375" style="38" customWidth="1"/>
    <col min="676" max="676" width="6.7109375" style="38" customWidth="1"/>
    <col min="677" max="677" width="1.7109375" style="38" customWidth="1"/>
    <col min="678" max="678" width="7.7109375" style="38" bestFit="1" customWidth="1"/>
    <col min="679" max="679" width="6.42578125" style="38" bestFit="1" customWidth="1"/>
    <col min="680" max="682" width="5.140625" style="38" bestFit="1" customWidth="1"/>
    <col min="683" max="683" width="5.7109375" style="38" customWidth="1"/>
    <col min="684" max="688" width="9.42578125" style="38" bestFit="1" customWidth="1"/>
    <col min="689" max="698" width="5.7109375" style="38" customWidth="1"/>
    <col min="699" max="911" width="8.85546875" style="38"/>
    <col min="912" max="912" width="7.140625" style="38" customWidth="1"/>
    <col min="913" max="913" width="17.28515625" style="38" bestFit="1" customWidth="1"/>
    <col min="914" max="915" width="6.7109375" style="38" customWidth="1"/>
    <col min="916" max="916" width="8.5703125" style="38" bestFit="1" customWidth="1"/>
    <col min="917" max="917" width="5.7109375" style="38" customWidth="1"/>
    <col min="918" max="918" width="6.7109375" style="38" customWidth="1"/>
    <col min="919" max="920" width="5.7109375" style="38" customWidth="1"/>
    <col min="921" max="921" width="6.7109375" style="38" customWidth="1"/>
    <col min="922" max="923" width="5.7109375" style="38" customWidth="1"/>
    <col min="924" max="926" width="6.7109375" style="38" customWidth="1"/>
    <col min="927" max="931" width="5.7109375" style="38" customWidth="1"/>
    <col min="932" max="932" width="6.7109375" style="38" customWidth="1"/>
    <col min="933" max="933" width="1.7109375" style="38" customWidth="1"/>
    <col min="934" max="934" width="7.7109375" style="38" bestFit="1" customWidth="1"/>
    <col min="935" max="935" width="6.42578125" style="38" bestFit="1" customWidth="1"/>
    <col min="936" max="938" width="5.140625" style="38" bestFit="1" customWidth="1"/>
    <col min="939" max="939" width="5.7109375" style="38" customWidth="1"/>
    <col min="940" max="944" width="9.42578125" style="38" bestFit="1" customWidth="1"/>
    <col min="945" max="954" width="5.7109375" style="38" customWidth="1"/>
    <col min="955" max="1167" width="8.85546875" style="38"/>
    <col min="1168" max="1168" width="7.140625" style="38" customWidth="1"/>
    <col min="1169" max="1169" width="17.28515625" style="38" bestFit="1" customWidth="1"/>
    <col min="1170" max="1171" width="6.7109375" style="38" customWidth="1"/>
    <col min="1172" max="1172" width="8.5703125" style="38" bestFit="1" customWidth="1"/>
    <col min="1173" max="1173" width="5.7109375" style="38" customWidth="1"/>
    <col min="1174" max="1174" width="6.7109375" style="38" customWidth="1"/>
    <col min="1175" max="1176" width="5.7109375" style="38" customWidth="1"/>
    <col min="1177" max="1177" width="6.7109375" style="38" customWidth="1"/>
    <col min="1178" max="1179" width="5.7109375" style="38" customWidth="1"/>
    <col min="1180" max="1182" width="6.7109375" style="38" customWidth="1"/>
    <col min="1183" max="1187" width="5.7109375" style="38" customWidth="1"/>
    <col min="1188" max="1188" width="6.7109375" style="38" customWidth="1"/>
    <col min="1189" max="1189" width="1.7109375" style="38" customWidth="1"/>
    <col min="1190" max="1190" width="7.7109375" style="38" bestFit="1" customWidth="1"/>
    <col min="1191" max="1191" width="6.42578125" style="38" bestFit="1" customWidth="1"/>
    <col min="1192" max="1194" width="5.140625" style="38" bestFit="1" customWidth="1"/>
    <col min="1195" max="1195" width="5.7109375" style="38" customWidth="1"/>
    <col min="1196" max="1200" width="9.42578125" style="38" bestFit="1" customWidth="1"/>
    <col min="1201" max="1210" width="5.7109375" style="38" customWidth="1"/>
    <col min="1211" max="1423" width="8.85546875" style="38"/>
    <col min="1424" max="1424" width="7.140625" style="38" customWidth="1"/>
    <col min="1425" max="1425" width="17.28515625" style="38" bestFit="1" customWidth="1"/>
    <col min="1426" max="1427" width="6.7109375" style="38" customWidth="1"/>
    <col min="1428" max="1428" width="8.5703125" style="38" bestFit="1" customWidth="1"/>
    <col min="1429" max="1429" width="5.7109375" style="38" customWidth="1"/>
    <col min="1430" max="1430" width="6.7109375" style="38" customWidth="1"/>
    <col min="1431" max="1432" width="5.7109375" style="38" customWidth="1"/>
    <col min="1433" max="1433" width="6.7109375" style="38" customWidth="1"/>
    <col min="1434" max="1435" width="5.7109375" style="38" customWidth="1"/>
    <col min="1436" max="1438" width="6.7109375" style="38" customWidth="1"/>
    <col min="1439" max="1443" width="5.7109375" style="38" customWidth="1"/>
    <col min="1444" max="1444" width="6.7109375" style="38" customWidth="1"/>
    <col min="1445" max="1445" width="1.7109375" style="38" customWidth="1"/>
    <col min="1446" max="1446" width="7.7109375" style="38" bestFit="1" customWidth="1"/>
    <col min="1447" max="1447" width="6.42578125" style="38" bestFit="1" customWidth="1"/>
    <col min="1448" max="1450" width="5.140625" style="38" bestFit="1" customWidth="1"/>
    <col min="1451" max="1451" width="5.7109375" style="38" customWidth="1"/>
    <col min="1452" max="1456" width="9.42578125" style="38" bestFit="1" customWidth="1"/>
    <col min="1457" max="1466" width="5.7109375" style="38" customWidth="1"/>
    <col min="1467" max="1679" width="8.85546875" style="38"/>
    <col min="1680" max="1680" width="7.140625" style="38" customWidth="1"/>
    <col min="1681" max="1681" width="17.28515625" style="38" bestFit="1" customWidth="1"/>
    <col min="1682" max="1683" width="6.7109375" style="38" customWidth="1"/>
    <col min="1684" max="1684" width="8.5703125" style="38" bestFit="1" customWidth="1"/>
    <col min="1685" max="1685" width="5.7109375" style="38" customWidth="1"/>
    <col min="1686" max="1686" width="6.7109375" style="38" customWidth="1"/>
    <col min="1687" max="1688" width="5.7109375" style="38" customWidth="1"/>
    <col min="1689" max="1689" width="6.7109375" style="38" customWidth="1"/>
    <col min="1690" max="1691" width="5.7109375" style="38" customWidth="1"/>
    <col min="1692" max="1694" width="6.7109375" style="38" customWidth="1"/>
    <col min="1695" max="1699" width="5.7109375" style="38" customWidth="1"/>
    <col min="1700" max="1700" width="6.7109375" style="38" customWidth="1"/>
    <col min="1701" max="1701" width="1.7109375" style="38" customWidth="1"/>
    <col min="1702" max="1702" width="7.7109375" style="38" bestFit="1" customWidth="1"/>
    <col min="1703" max="1703" width="6.42578125" style="38" bestFit="1" customWidth="1"/>
    <col min="1704" max="1706" width="5.140625" style="38" bestFit="1" customWidth="1"/>
    <col min="1707" max="1707" width="5.7109375" style="38" customWidth="1"/>
    <col min="1708" max="1712" width="9.42578125" style="38" bestFit="1" customWidth="1"/>
    <col min="1713" max="1722" width="5.7109375" style="38" customWidth="1"/>
    <col min="1723" max="1935" width="8.85546875" style="38"/>
    <col min="1936" max="1936" width="7.140625" style="38" customWidth="1"/>
    <col min="1937" max="1937" width="17.28515625" style="38" bestFit="1" customWidth="1"/>
    <col min="1938" max="1939" width="6.7109375" style="38" customWidth="1"/>
    <col min="1940" max="1940" width="8.5703125" style="38" bestFit="1" customWidth="1"/>
    <col min="1941" max="1941" width="5.7109375" style="38" customWidth="1"/>
    <col min="1942" max="1942" width="6.7109375" style="38" customWidth="1"/>
    <col min="1943" max="1944" width="5.7109375" style="38" customWidth="1"/>
    <col min="1945" max="1945" width="6.7109375" style="38" customWidth="1"/>
    <col min="1946" max="1947" width="5.7109375" style="38" customWidth="1"/>
    <col min="1948" max="1950" width="6.7109375" style="38" customWidth="1"/>
    <col min="1951" max="1955" width="5.7109375" style="38" customWidth="1"/>
    <col min="1956" max="1956" width="6.7109375" style="38" customWidth="1"/>
    <col min="1957" max="1957" width="1.7109375" style="38" customWidth="1"/>
    <col min="1958" max="1958" width="7.7109375" style="38" bestFit="1" customWidth="1"/>
    <col min="1959" max="1959" width="6.42578125" style="38" bestFit="1" customWidth="1"/>
    <col min="1960" max="1962" width="5.140625" style="38" bestFit="1" customWidth="1"/>
    <col min="1963" max="1963" width="5.7109375" style="38" customWidth="1"/>
    <col min="1964" max="1968" width="9.42578125" style="38" bestFit="1" customWidth="1"/>
    <col min="1969" max="1978" width="5.7109375" style="38" customWidth="1"/>
    <col min="1979" max="2191" width="8.85546875" style="38"/>
    <col min="2192" max="2192" width="7.140625" style="38" customWidth="1"/>
    <col min="2193" max="2193" width="17.28515625" style="38" bestFit="1" customWidth="1"/>
    <col min="2194" max="2195" width="6.7109375" style="38" customWidth="1"/>
    <col min="2196" max="2196" width="8.5703125" style="38" bestFit="1" customWidth="1"/>
    <col min="2197" max="2197" width="5.7109375" style="38" customWidth="1"/>
    <col min="2198" max="2198" width="6.7109375" style="38" customWidth="1"/>
    <col min="2199" max="2200" width="5.7109375" style="38" customWidth="1"/>
    <col min="2201" max="2201" width="6.7109375" style="38" customWidth="1"/>
    <col min="2202" max="2203" width="5.7109375" style="38" customWidth="1"/>
    <col min="2204" max="2206" width="6.7109375" style="38" customWidth="1"/>
    <col min="2207" max="2211" width="5.7109375" style="38" customWidth="1"/>
    <col min="2212" max="2212" width="6.7109375" style="38" customWidth="1"/>
    <col min="2213" max="2213" width="1.7109375" style="38" customWidth="1"/>
    <col min="2214" max="2214" width="7.7109375" style="38" bestFit="1" customWidth="1"/>
    <col min="2215" max="2215" width="6.42578125" style="38" bestFit="1" customWidth="1"/>
    <col min="2216" max="2218" width="5.140625" style="38" bestFit="1" customWidth="1"/>
    <col min="2219" max="2219" width="5.7109375" style="38" customWidth="1"/>
    <col min="2220" max="2224" width="9.42578125" style="38" bestFit="1" customWidth="1"/>
    <col min="2225" max="2234" width="5.7109375" style="38" customWidth="1"/>
    <col min="2235" max="2447" width="8.85546875" style="38"/>
    <col min="2448" max="2448" width="7.140625" style="38" customWidth="1"/>
    <col min="2449" max="2449" width="17.28515625" style="38" bestFit="1" customWidth="1"/>
    <col min="2450" max="2451" width="6.7109375" style="38" customWidth="1"/>
    <col min="2452" max="2452" width="8.5703125" style="38" bestFit="1" customWidth="1"/>
    <col min="2453" max="2453" width="5.7109375" style="38" customWidth="1"/>
    <col min="2454" max="2454" width="6.7109375" style="38" customWidth="1"/>
    <col min="2455" max="2456" width="5.7109375" style="38" customWidth="1"/>
    <col min="2457" max="2457" width="6.7109375" style="38" customWidth="1"/>
    <col min="2458" max="2459" width="5.7109375" style="38" customWidth="1"/>
    <col min="2460" max="2462" width="6.7109375" style="38" customWidth="1"/>
    <col min="2463" max="2467" width="5.7109375" style="38" customWidth="1"/>
    <col min="2468" max="2468" width="6.7109375" style="38" customWidth="1"/>
    <col min="2469" max="2469" width="1.7109375" style="38" customWidth="1"/>
    <col min="2470" max="2470" width="7.7109375" style="38" bestFit="1" customWidth="1"/>
    <col min="2471" max="2471" width="6.42578125" style="38" bestFit="1" customWidth="1"/>
    <col min="2472" max="2474" width="5.140625" style="38" bestFit="1" customWidth="1"/>
    <col min="2475" max="2475" width="5.7109375" style="38" customWidth="1"/>
    <col min="2476" max="2480" width="9.42578125" style="38" bestFit="1" customWidth="1"/>
    <col min="2481" max="2490" width="5.7109375" style="38" customWidth="1"/>
    <col min="2491" max="2703" width="8.85546875" style="38"/>
    <col min="2704" max="2704" width="7.140625" style="38" customWidth="1"/>
    <col min="2705" max="2705" width="17.28515625" style="38" bestFit="1" customWidth="1"/>
    <col min="2706" max="2707" width="6.7109375" style="38" customWidth="1"/>
    <col min="2708" max="2708" width="8.5703125" style="38" bestFit="1" customWidth="1"/>
    <col min="2709" max="2709" width="5.7109375" style="38" customWidth="1"/>
    <col min="2710" max="2710" width="6.7109375" style="38" customWidth="1"/>
    <col min="2711" max="2712" width="5.7109375" style="38" customWidth="1"/>
    <col min="2713" max="2713" width="6.7109375" style="38" customWidth="1"/>
    <col min="2714" max="2715" width="5.7109375" style="38" customWidth="1"/>
    <col min="2716" max="2718" width="6.7109375" style="38" customWidth="1"/>
    <col min="2719" max="2723" width="5.7109375" style="38" customWidth="1"/>
    <col min="2724" max="2724" width="6.7109375" style="38" customWidth="1"/>
    <col min="2725" max="2725" width="1.7109375" style="38" customWidth="1"/>
    <col min="2726" max="2726" width="7.7109375" style="38" bestFit="1" customWidth="1"/>
    <col min="2727" max="2727" width="6.42578125" style="38" bestFit="1" customWidth="1"/>
    <col min="2728" max="2730" width="5.140625" style="38" bestFit="1" customWidth="1"/>
    <col min="2731" max="2731" width="5.7109375" style="38" customWidth="1"/>
    <col min="2732" max="2736" width="9.42578125" style="38" bestFit="1" customWidth="1"/>
    <col min="2737" max="2746" width="5.7109375" style="38" customWidth="1"/>
    <col min="2747" max="2959" width="8.85546875" style="38"/>
    <col min="2960" max="2960" width="7.140625" style="38" customWidth="1"/>
    <col min="2961" max="2961" width="17.28515625" style="38" bestFit="1" customWidth="1"/>
    <col min="2962" max="2963" width="6.7109375" style="38" customWidth="1"/>
    <col min="2964" max="2964" width="8.5703125" style="38" bestFit="1" customWidth="1"/>
    <col min="2965" max="2965" width="5.7109375" style="38" customWidth="1"/>
    <col min="2966" max="2966" width="6.7109375" style="38" customWidth="1"/>
    <col min="2967" max="2968" width="5.7109375" style="38" customWidth="1"/>
    <col min="2969" max="2969" width="6.7109375" style="38" customWidth="1"/>
    <col min="2970" max="2971" width="5.7109375" style="38" customWidth="1"/>
    <col min="2972" max="2974" width="6.7109375" style="38" customWidth="1"/>
    <col min="2975" max="2979" width="5.7109375" style="38" customWidth="1"/>
    <col min="2980" max="2980" width="6.7109375" style="38" customWidth="1"/>
    <col min="2981" max="2981" width="1.7109375" style="38" customWidth="1"/>
    <col min="2982" max="2982" width="7.7109375" style="38" bestFit="1" customWidth="1"/>
    <col min="2983" max="2983" width="6.42578125" style="38" bestFit="1" customWidth="1"/>
    <col min="2984" max="2986" width="5.140625" style="38" bestFit="1" customWidth="1"/>
    <col min="2987" max="2987" width="5.7109375" style="38" customWidth="1"/>
    <col min="2988" max="2992" width="9.42578125" style="38" bestFit="1" customWidth="1"/>
    <col min="2993" max="3002" width="5.7109375" style="38" customWidth="1"/>
    <col min="3003" max="3215" width="8.85546875" style="38"/>
    <col min="3216" max="3216" width="7.140625" style="38" customWidth="1"/>
    <col min="3217" max="3217" width="17.28515625" style="38" bestFit="1" customWidth="1"/>
    <col min="3218" max="3219" width="6.7109375" style="38" customWidth="1"/>
    <col min="3220" max="3220" width="8.5703125" style="38" bestFit="1" customWidth="1"/>
    <col min="3221" max="3221" width="5.7109375" style="38" customWidth="1"/>
    <col min="3222" max="3222" width="6.7109375" style="38" customWidth="1"/>
    <col min="3223" max="3224" width="5.7109375" style="38" customWidth="1"/>
    <col min="3225" max="3225" width="6.7109375" style="38" customWidth="1"/>
    <col min="3226" max="3227" width="5.7109375" style="38" customWidth="1"/>
    <col min="3228" max="3230" width="6.7109375" style="38" customWidth="1"/>
    <col min="3231" max="3235" width="5.7109375" style="38" customWidth="1"/>
    <col min="3236" max="3236" width="6.7109375" style="38" customWidth="1"/>
    <col min="3237" max="3237" width="1.7109375" style="38" customWidth="1"/>
    <col min="3238" max="3238" width="7.7109375" style="38" bestFit="1" customWidth="1"/>
    <col min="3239" max="3239" width="6.42578125" style="38" bestFit="1" customWidth="1"/>
    <col min="3240" max="3242" width="5.140625" style="38" bestFit="1" customWidth="1"/>
    <col min="3243" max="3243" width="5.7109375" style="38" customWidth="1"/>
    <col min="3244" max="3248" width="9.42578125" style="38" bestFit="1" customWidth="1"/>
    <col min="3249" max="3258" width="5.7109375" style="38" customWidth="1"/>
    <col min="3259" max="3471" width="8.85546875" style="38"/>
    <col min="3472" max="3472" width="7.140625" style="38" customWidth="1"/>
    <col min="3473" max="3473" width="17.28515625" style="38" bestFit="1" customWidth="1"/>
    <col min="3474" max="3475" width="6.7109375" style="38" customWidth="1"/>
    <col min="3476" max="3476" width="8.5703125" style="38" bestFit="1" customWidth="1"/>
    <col min="3477" max="3477" width="5.7109375" style="38" customWidth="1"/>
    <col min="3478" max="3478" width="6.7109375" style="38" customWidth="1"/>
    <col min="3479" max="3480" width="5.7109375" style="38" customWidth="1"/>
    <col min="3481" max="3481" width="6.7109375" style="38" customWidth="1"/>
    <col min="3482" max="3483" width="5.7109375" style="38" customWidth="1"/>
    <col min="3484" max="3486" width="6.7109375" style="38" customWidth="1"/>
    <col min="3487" max="3491" width="5.7109375" style="38" customWidth="1"/>
    <col min="3492" max="3492" width="6.7109375" style="38" customWidth="1"/>
    <col min="3493" max="3493" width="1.7109375" style="38" customWidth="1"/>
    <col min="3494" max="3494" width="7.7109375" style="38" bestFit="1" customWidth="1"/>
    <col min="3495" max="3495" width="6.42578125" style="38" bestFit="1" customWidth="1"/>
    <col min="3496" max="3498" width="5.140625" style="38" bestFit="1" customWidth="1"/>
    <col min="3499" max="3499" width="5.7109375" style="38" customWidth="1"/>
    <col min="3500" max="3504" width="9.42578125" style="38" bestFit="1" customWidth="1"/>
    <col min="3505" max="3514" width="5.7109375" style="38" customWidth="1"/>
    <col min="3515" max="3727" width="8.85546875" style="38"/>
    <col min="3728" max="3728" width="7.140625" style="38" customWidth="1"/>
    <col min="3729" max="3729" width="17.28515625" style="38" bestFit="1" customWidth="1"/>
    <col min="3730" max="3731" width="6.7109375" style="38" customWidth="1"/>
    <col min="3732" max="3732" width="8.5703125" style="38" bestFit="1" customWidth="1"/>
    <col min="3733" max="3733" width="5.7109375" style="38" customWidth="1"/>
    <col min="3734" max="3734" width="6.7109375" style="38" customWidth="1"/>
    <col min="3735" max="3736" width="5.7109375" style="38" customWidth="1"/>
    <col min="3737" max="3737" width="6.7109375" style="38" customWidth="1"/>
    <col min="3738" max="3739" width="5.7109375" style="38" customWidth="1"/>
    <col min="3740" max="3742" width="6.7109375" style="38" customWidth="1"/>
    <col min="3743" max="3747" width="5.7109375" style="38" customWidth="1"/>
    <col min="3748" max="3748" width="6.7109375" style="38" customWidth="1"/>
    <col min="3749" max="3749" width="1.7109375" style="38" customWidth="1"/>
    <col min="3750" max="3750" width="7.7109375" style="38" bestFit="1" customWidth="1"/>
    <col min="3751" max="3751" width="6.42578125" style="38" bestFit="1" customWidth="1"/>
    <col min="3752" max="3754" width="5.140625" style="38" bestFit="1" customWidth="1"/>
    <col min="3755" max="3755" width="5.7109375" style="38" customWidth="1"/>
    <col min="3756" max="3760" width="9.42578125" style="38" bestFit="1" customWidth="1"/>
    <col min="3761" max="3770" width="5.7109375" style="38" customWidth="1"/>
    <col min="3771" max="3983" width="8.85546875" style="38"/>
    <col min="3984" max="3984" width="7.140625" style="38" customWidth="1"/>
    <col min="3985" max="3985" width="17.28515625" style="38" bestFit="1" customWidth="1"/>
    <col min="3986" max="3987" width="6.7109375" style="38" customWidth="1"/>
    <col min="3988" max="3988" width="8.5703125" style="38" bestFit="1" customWidth="1"/>
    <col min="3989" max="3989" width="5.7109375" style="38" customWidth="1"/>
    <col min="3990" max="3990" width="6.7109375" style="38" customWidth="1"/>
    <col min="3991" max="3992" width="5.7109375" style="38" customWidth="1"/>
    <col min="3993" max="3993" width="6.7109375" style="38" customWidth="1"/>
    <col min="3994" max="3995" width="5.7109375" style="38" customWidth="1"/>
    <col min="3996" max="3998" width="6.7109375" style="38" customWidth="1"/>
    <col min="3999" max="4003" width="5.7109375" style="38" customWidth="1"/>
    <col min="4004" max="4004" width="6.7109375" style="38" customWidth="1"/>
    <col min="4005" max="4005" width="1.7109375" style="38" customWidth="1"/>
    <col min="4006" max="4006" width="7.7109375" style="38" bestFit="1" customWidth="1"/>
    <col min="4007" max="4007" width="6.42578125" style="38" bestFit="1" customWidth="1"/>
    <col min="4008" max="4010" width="5.140625" style="38" bestFit="1" customWidth="1"/>
    <col min="4011" max="4011" width="5.7109375" style="38" customWidth="1"/>
    <col min="4012" max="4016" width="9.42578125" style="38" bestFit="1" customWidth="1"/>
    <col min="4017" max="4026" width="5.7109375" style="38" customWidth="1"/>
    <col min="4027" max="4239" width="8.85546875" style="38"/>
    <col min="4240" max="4240" width="7.140625" style="38" customWidth="1"/>
    <col min="4241" max="4241" width="17.28515625" style="38" bestFit="1" customWidth="1"/>
    <col min="4242" max="4243" width="6.7109375" style="38" customWidth="1"/>
    <col min="4244" max="4244" width="8.5703125" style="38" bestFit="1" customWidth="1"/>
    <col min="4245" max="4245" width="5.7109375" style="38" customWidth="1"/>
    <col min="4246" max="4246" width="6.7109375" style="38" customWidth="1"/>
    <col min="4247" max="4248" width="5.7109375" style="38" customWidth="1"/>
    <col min="4249" max="4249" width="6.7109375" style="38" customWidth="1"/>
    <col min="4250" max="4251" width="5.7109375" style="38" customWidth="1"/>
    <col min="4252" max="4254" width="6.7109375" style="38" customWidth="1"/>
    <col min="4255" max="4259" width="5.7109375" style="38" customWidth="1"/>
    <col min="4260" max="4260" width="6.7109375" style="38" customWidth="1"/>
    <col min="4261" max="4261" width="1.7109375" style="38" customWidth="1"/>
    <col min="4262" max="4262" width="7.7109375" style="38" bestFit="1" customWidth="1"/>
    <col min="4263" max="4263" width="6.42578125" style="38" bestFit="1" customWidth="1"/>
    <col min="4264" max="4266" width="5.140625" style="38" bestFit="1" customWidth="1"/>
    <col min="4267" max="4267" width="5.7109375" style="38" customWidth="1"/>
    <col min="4268" max="4272" width="9.42578125" style="38" bestFit="1" customWidth="1"/>
    <col min="4273" max="4282" width="5.7109375" style="38" customWidth="1"/>
    <col min="4283" max="4495" width="8.85546875" style="38"/>
    <col min="4496" max="4496" width="7.140625" style="38" customWidth="1"/>
    <col min="4497" max="4497" width="17.28515625" style="38" bestFit="1" customWidth="1"/>
    <col min="4498" max="4499" width="6.7109375" style="38" customWidth="1"/>
    <col min="4500" max="4500" width="8.5703125" style="38" bestFit="1" customWidth="1"/>
    <col min="4501" max="4501" width="5.7109375" style="38" customWidth="1"/>
    <col min="4502" max="4502" width="6.7109375" style="38" customWidth="1"/>
    <col min="4503" max="4504" width="5.7109375" style="38" customWidth="1"/>
    <col min="4505" max="4505" width="6.7109375" style="38" customWidth="1"/>
    <col min="4506" max="4507" width="5.7109375" style="38" customWidth="1"/>
    <col min="4508" max="4510" width="6.7109375" style="38" customWidth="1"/>
    <col min="4511" max="4515" width="5.7109375" style="38" customWidth="1"/>
    <col min="4516" max="4516" width="6.7109375" style="38" customWidth="1"/>
    <col min="4517" max="4517" width="1.7109375" style="38" customWidth="1"/>
    <col min="4518" max="4518" width="7.7109375" style="38" bestFit="1" customWidth="1"/>
    <col min="4519" max="4519" width="6.42578125" style="38" bestFit="1" customWidth="1"/>
    <col min="4520" max="4522" width="5.140625" style="38" bestFit="1" customWidth="1"/>
    <col min="4523" max="4523" width="5.7109375" style="38" customWidth="1"/>
    <col min="4524" max="4528" width="9.42578125" style="38" bestFit="1" customWidth="1"/>
    <col min="4529" max="4538" width="5.7109375" style="38" customWidth="1"/>
    <col min="4539" max="4751" width="8.85546875" style="38"/>
    <col min="4752" max="4752" width="7.140625" style="38" customWidth="1"/>
    <col min="4753" max="4753" width="17.28515625" style="38" bestFit="1" customWidth="1"/>
    <col min="4754" max="4755" width="6.7109375" style="38" customWidth="1"/>
    <col min="4756" max="4756" width="8.5703125" style="38" bestFit="1" customWidth="1"/>
    <col min="4757" max="4757" width="5.7109375" style="38" customWidth="1"/>
    <col min="4758" max="4758" width="6.7109375" style="38" customWidth="1"/>
    <col min="4759" max="4760" width="5.7109375" style="38" customWidth="1"/>
    <col min="4761" max="4761" width="6.7109375" style="38" customWidth="1"/>
    <col min="4762" max="4763" width="5.7109375" style="38" customWidth="1"/>
    <col min="4764" max="4766" width="6.7109375" style="38" customWidth="1"/>
    <col min="4767" max="4771" width="5.7109375" style="38" customWidth="1"/>
    <col min="4772" max="4772" width="6.7109375" style="38" customWidth="1"/>
    <col min="4773" max="4773" width="1.7109375" style="38" customWidth="1"/>
    <col min="4774" max="4774" width="7.7109375" style="38" bestFit="1" customWidth="1"/>
    <col min="4775" max="4775" width="6.42578125" style="38" bestFit="1" customWidth="1"/>
    <col min="4776" max="4778" width="5.140625" style="38" bestFit="1" customWidth="1"/>
    <col min="4779" max="4779" width="5.7109375" style="38" customWidth="1"/>
    <col min="4780" max="4784" width="9.42578125" style="38" bestFit="1" customWidth="1"/>
    <col min="4785" max="4794" width="5.7109375" style="38" customWidth="1"/>
    <col min="4795" max="5007" width="8.85546875" style="38"/>
    <col min="5008" max="5008" width="7.140625" style="38" customWidth="1"/>
    <col min="5009" max="5009" width="17.28515625" style="38" bestFit="1" customWidth="1"/>
    <col min="5010" max="5011" width="6.7109375" style="38" customWidth="1"/>
    <col min="5012" max="5012" width="8.5703125" style="38" bestFit="1" customWidth="1"/>
    <col min="5013" max="5013" width="5.7109375" style="38" customWidth="1"/>
    <col min="5014" max="5014" width="6.7109375" style="38" customWidth="1"/>
    <col min="5015" max="5016" width="5.7109375" style="38" customWidth="1"/>
    <col min="5017" max="5017" width="6.7109375" style="38" customWidth="1"/>
    <col min="5018" max="5019" width="5.7109375" style="38" customWidth="1"/>
    <col min="5020" max="5022" width="6.7109375" style="38" customWidth="1"/>
    <col min="5023" max="5027" width="5.7109375" style="38" customWidth="1"/>
    <col min="5028" max="5028" width="6.7109375" style="38" customWidth="1"/>
    <col min="5029" max="5029" width="1.7109375" style="38" customWidth="1"/>
    <col min="5030" max="5030" width="7.7109375" style="38" bestFit="1" customWidth="1"/>
    <col min="5031" max="5031" width="6.42578125" style="38" bestFit="1" customWidth="1"/>
    <col min="5032" max="5034" width="5.140625" style="38" bestFit="1" customWidth="1"/>
    <col min="5035" max="5035" width="5.7109375" style="38" customWidth="1"/>
    <col min="5036" max="5040" width="9.42578125" style="38" bestFit="1" customWidth="1"/>
    <col min="5041" max="5050" width="5.7109375" style="38" customWidth="1"/>
    <col min="5051" max="5263" width="8.85546875" style="38"/>
    <col min="5264" max="5264" width="7.140625" style="38" customWidth="1"/>
    <col min="5265" max="5265" width="17.28515625" style="38" bestFit="1" customWidth="1"/>
    <col min="5266" max="5267" width="6.7109375" style="38" customWidth="1"/>
    <col min="5268" max="5268" width="8.5703125" style="38" bestFit="1" customWidth="1"/>
    <col min="5269" max="5269" width="5.7109375" style="38" customWidth="1"/>
    <col min="5270" max="5270" width="6.7109375" style="38" customWidth="1"/>
    <col min="5271" max="5272" width="5.7109375" style="38" customWidth="1"/>
    <col min="5273" max="5273" width="6.7109375" style="38" customWidth="1"/>
    <col min="5274" max="5275" width="5.7109375" style="38" customWidth="1"/>
    <col min="5276" max="5278" width="6.7109375" style="38" customWidth="1"/>
    <col min="5279" max="5283" width="5.7109375" style="38" customWidth="1"/>
    <col min="5284" max="5284" width="6.7109375" style="38" customWidth="1"/>
    <col min="5285" max="5285" width="1.7109375" style="38" customWidth="1"/>
    <col min="5286" max="5286" width="7.7109375" style="38" bestFit="1" customWidth="1"/>
    <col min="5287" max="5287" width="6.42578125" style="38" bestFit="1" customWidth="1"/>
    <col min="5288" max="5290" width="5.140625" style="38" bestFit="1" customWidth="1"/>
    <col min="5291" max="5291" width="5.7109375" style="38" customWidth="1"/>
    <col min="5292" max="5296" width="9.42578125" style="38" bestFit="1" customWidth="1"/>
    <col min="5297" max="5306" width="5.7109375" style="38" customWidth="1"/>
    <col min="5307" max="5519" width="8.85546875" style="38"/>
    <col min="5520" max="5520" width="7.140625" style="38" customWidth="1"/>
    <col min="5521" max="5521" width="17.28515625" style="38" bestFit="1" customWidth="1"/>
    <col min="5522" max="5523" width="6.7109375" style="38" customWidth="1"/>
    <col min="5524" max="5524" width="8.5703125" style="38" bestFit="1" customWidth="1"/>
    <col min="5525" max="5525" width="5.7109375" style="38" customWidth="1"/>
    <col min="5526" max="5526" width="6.7109375" style="38" customWidth="1"/>
    <col min="5527" max="5528" width="5.7109375" style="38" customWidth="1"/>
    <col min="5529" max="5529" width="6.7109375" style="38" customWidth="1"/>
    <col min="5530" max="5531" width="5.7109375" style="38" customWidth="1"/>
    <col min="5532" max="5534" width="6.7109375" style="38" customWidth="1"/>
    <col min="5535" max="5539" width="5.7109375" style="38" customWidth="1"/>
    <col min="5540" max="5540" width="6.7109375" style="38" customWidth="1"/>
    <col min="5541" max="5541" width="1.7109375" style="38" customWidth="1"/>
    <col min="5542" max="5542" width="7.7109375" style="38" bestFit="1" customWidth="1"/>
    <col min="5543" max="5543" width="6.42578125" style="38" bestFit="1" customWidth="1"/>
    <col min="5544" max="5546" width="5.140625" style="38" bestFit="1" customWidth="1"/>
    <col min="5547" max="5547" width="5.7109375" style="38" customWidth="1"/>
    <col min="5548" max="5552" width="9.42578125" style="38" bestFit="1" customWidth="1"/>
    <col min="5553" max="5562" width="5.7109375" style="38" customWidth="1"/>
    <col min="5563" max="5775" width="8.85546875" style="38"/>
    <col min="5776" max="5776" width="7.140625" style="38" customWidth="1"/>
    <col min="5777" max="5777" width="17.28515625" style="38" bestFit="1" customWidth="1"/>
    <col min="5778" max="5779" width="6.7109375" style="38" customWidth="1"/>
    <col min="5780" max="5780" width="8.5703125" style="38" bestFit="1" customWidth="1"/>
    <col min="5781" max="5781" width="5.7109375" style="38" customWidth="1"/>
    <col min="5782" max="5782" width="6.7109375" style="38" customWidth="1"/>
    <col min="5783" max="5784" width="5.7109375" style="38" customWidth="1"/>
    <col min="5785" max="5785" width="6.7109375" style="38" customWidth="1"/>
    <col min="5786" max="5787" width="5.7109375" style="38" customWidth="1"/>
    <col min="5788" max="5790" width="6.7109375" style="38" customWidth="1"/>
    <col min="5791" max="5795" width="5.7109375" style="38" customWidth="1"/>
    <col min="5796" max="5796" width="6.7109375" style="38" customWidth="1"/>
    <col min="5797" max="5797" width="1.7109375" style="38" customWidth="1"/>
    <col min="5798" max="5798" width="7.7109375" style="38" bestFit="1" customWidth="1"/>
    <col min="5799" max="5799" width="6.42578125" style="38" bestFit="1" customWidth="1"/>
    <col min="5800" max="5802" width="5.140625" style="38" bestFit="1" customWidth="1"/>
    <col min="5803" max="5803" width="5.7109375" style="38" customWidth="1"/>
    <col min="5804" max="5808" width="9.42578125" style="38" bestFit="1" customWidth="1"/>
    <col min="5809" max="5818" width="5.7109375" style="38" customWidth="1"/>
    <col min="5819" max="6031" width="8.85546875" style="38"/>
    <col min="6032" max="6032" width="7.140625" style="38" customWidth="1"/>
    <col min="6033" max="6033" width="17.28515625" style="38" bestFit="1" customWidth="1"/>
    <col min="6034" max="6035" width="6.7109375" style="38" customWidth="1"/>
    <col min="6036" max="6036" width="8.5703125" style="38" bestFit="1" customWidth="1"/>
    <col min="6037" max="6037" width="5.7109375" style="38" customWidth="1"/>
    <col min="6038" max="6038" width="6.7109375" style="38" customWidth="1"/>
    <col min="6039" max="6040" width="5.7109375" style="38" customWidth="1"/>
    <col min="6041" max="6041" width="6.7109375" style="38" customWidth="1"/>
    <col min="6042" max="6043" width="5.7109375" style="38" customWidth="1"/>
    <col min="6044" max="6046" width="6.7109375" style="38" customWidth="1"/>
    <col min="6047" max="6051" width="5.7109375" style="38" customWidth="1"/>
    <col min="6052" max="6052" width="6.7109375" style="38" customWidth="1"/>
    <col min="6053" max="6053" width="1.7109375" style="38" customWidth="1"/>
    <col min="6054" max="6054" width="7.7109375" style="38" bestFit="1" customWidth="1"/>
    <col min="6055" max="6055" width="6.42578125" style="38" bestFit="1" customWidth="1"/>
    <col min="6056" max="6058" width="5.140625" style="38" bestFit="1" customWidth="1"/>
    <col min="6059" max="6059" width="5.7109375" style="38" customWidth="1"/>
    <col min="6060" max="6064" width="9.42578125" style="38" bestFit="1" customWidth="1"/>
    <col min="6065" max="6074" width="5.7109375" style="38" customWidth="1"/>
    <col min="6075" max="6287" width="8.85546875" style="38"/>
    <col min="6288" max="6288" width="7.140625" style="38" customWidth="1"/>
    <col min="6289" max="6289" width="17.28515625" style="38" bestFit="1" customWidth="1"/>
    <col min="6290" max="6291" width="6.7109375" style="38" customWidth="1"/>
    <col min="6292" max="6292" width="8.5703125" style="38" bestFit="1" customWidth="1"/>
    <col min="6293" max="6293" width="5.7109375" style="38" customWidth="1"/>
    <col min="6294" max="6294" width="6.7109375" style="38" customWidth="1"/>
    <col min="6295" max="6296" width="5.7109375" style="38" customWidth="1"/>
    <col min="6297" max="6297" width="6.7109375" style="38" customWidth="1"/>
    <col min="6298" max="6299" width="5.7109375" style="38" customWidth="1"/>
    <col min="6300" max="6302" width="6.7109375" style="38" customWidth="1"/>
    <col min="6303" max="6307" width="5.7109375" style="38" customWidth="1"/>
    <col min="6308" max="6308" width="6.7109375" style="38" customWidth="1"/>
    <col min="6309" max="6309" width="1.7109375" style="38" customWidth="1"/>
    <col min="6310" max="6310" width="7.7109375" style="38" bestFit="1" customWidth="1"/>
    <col min="6311" max="6311" width="6.42578125" style="38" bestFit="1" customWidth="1"/>
    <col min="6312" max="6314" width="5.140625" style="38" bestFit="1" customWidth="1"/>
    <col min="6315" max="6315" width="5.7109375" style="38" customWidth="1"/>
    <col min="6316" max="6320" width="9.42578125" style="38" bestFit="1" customWidth="1"/>
    <col min="6321" max="6330" width="5.7109375" style="38" customWidth="1"/>
    <col min="6331" max="6543" width="8.85546875" style="38"/>
    <col min="6544" max="6544" width="7.140625" style="38" customWidth="1"/>
    <col min="6545" max="6545" width="17.28515625" style="38" bestFit="1" customWidth="1"/>
    <col min="6546" max="6547" width="6.7109375" style="38" customWidth="1"/>
    <col min="6548" max="6548" width="8.5703125" style="38" bestFit="1" customWidth="1"/>
    <col min="6549" max="6549" width="5.7109375" style="38" customWidth="1"/>
    <col min="6550" max="6550" width="6.7109375" style="38" customWidth="1"/>
    <col min="6551" max="6552" width="5.7109375" style="38" customWidth="1"/>
    <col min="6553" max="6553" width="6.7109375" style="38" customWidth="1"/>
    <col min="6554" max="6555" width="5.7109375" style="38" customWidth="1"/>
    <col min="6556" max="6558" width="6.7109375" style="38" customWidth="1"/>
    <col min="6559" max="6563" width="5.7109375" style="38" customWidth="1"/>
    <col min="6564" max="6564" width="6.7109375" style="38" customWidth="1"/>
    <col min="6565" max="6565" width="1.7109375" style="38" customWidth="1"/>
    <col min="6566" max="6566" width="7.7109375" style="38" bestFit="1" customWidth="1"/>
    <col min="6567" max="6567" width="6.42578125" style="38" bestFit="1" customWidth="1"/>
    <col min="6568" max="6570" width="5.140625" style="38" bestFit="1" customWidth="1"/>
    <col min="6571" max="6571" width="5.7109375" style="38" customWidth="1"/>
    <col min="6572" max="6576" width="9.42578125" style="38" bestFit="1" customWidth="1"/>
    <col min="6577" max="6586" width="5.7109375" style="38" customWidth="1"/>
    <col min="6587" max="6799" width="8.85546875" style="38"/>
    <col min="6800" max="6800" width="7.140625" style="38" customWidth="1"/>
    <col min="6801" max="6801" width="17.28515625" style="38" bestFit="1" customWidth="1"/>
    <col min="6802" max="6803" width="6.7109375" style="38" customWidth="1"/>
    <col min="6804" max="6804" width="8.5703125" style="38" bestFit="1" customWidth="1"/>
    <col min="6805" max="6805" width="5.7109375" style="38" customWidth="1"/>
    <col min="6806" max="6806" width="6.7109375" style="38" customWidth="1"/>
    <col min="6807" max="6808" width="5.7109375" style="38" customWidth="1"/>
    <col min="6809" max="6809" width="6.7109375" style="38" customWidth="1"/>
    <col min="6810" max="6811" width="5.7109375" style="38" customWidth="1"/>
    <col min="6812" max="6814" width="6.7109375" style="38" customWidth="1"/>
    <col min="6815" max="6819" width="5.7109375" style="38" customWidth="1"/>
    <col min="6820" max="6820" width="6.7109375" style="38" customWidth="1"/>
    <col min="6821" max="6821" width="1.7109375" style="38" customWidth="1"/>
    <col min="6822" max="6822" width="7.7109375" style="38" bestFit="1" customWidth="1"/>
    <col min="6823" max="6823" width="6.42578125" style="38" bestFit="1" customWidth="1"/>
    <col min="6824" max="6826" width="5.140625" style="38" bestFit="1" customWidth="1"/>
    <col min="6827" max="6827" width="5.7109375" style="38" customWidth="1"/>
    <col min="6828" max="6832" width="9.42578125" style="38" bestFit="1" customWidth="1"/>
    <col min="6833" max="6842" width="5.7109375" style="38" customWidth="1"/>
    <col min="6843" max="7055" width="8.85546875" style="38"/>
    <col min="7056" max="7056" width="7.140625" style="38" customWidth="1"/>
    <col min="7057" max="7057" width="17.28515625" style="38" bestFit="1" customWidth="1"/>
    <col min="7058" max="7059" width="6.7109375" style="38" customWidth="1"/>
    <col min="7060" max="7060" width="8.5703125" style="38" bestFit="1" customWidth="1"/>
    <col min="7061" max="7061" width="5.7109375" style="38" customWidth="1"/>
    <col min="7062" max="7062" width="6.7109375" style="38" customWidth="1"/>
    <col min="7063" max="7064" width="5.7109375" style="38" customWidth="1"/>
    <col min="7065" max="7065" width="6.7109375" style="38" customWidth="1"/>
    <col min="7066" max="7067" width="5.7109375" style="38" customWidth="1"/>
    <col min="7068" max="7070" width="6.7109375" style="38" customWidth="1"/>
    <col min="7071" max="7075" width="5.7109375" style="38" customWidth="1"/>
    <col min="7076" max="7076" width="6.7109375" style="38" customWidth="1"/>
    <col min="7077" max="7077" width="1.7109375" style="38" customWidth="1"/>
    <col min="7078" max="7078" width="7.7109375" style="38" bestFit="1" customWidth="1"/>
    <col min="7079" max="7079" width="6.42578125" style="38" bestFit="1" customWidth="1"/>
    <col min="7080" max="7082" width="5.140625" style="38" bestFit="1" customWidth="1"/>
    <col min="7083" max="7083" width="5.7109375" style="38" customWidth="1"/>
    <col min="7084" max="7088" width="9.42578125" style="38" bestFit="1" customWidth="1"/>
    <col min="7089" max="7098" width="5.7109375" style="38" customWidth="1"/>
    <col min="7099" max="7311" width="8.85546875" style="38"/>
    <col min="7312" max="7312" width="7.140625" style="38" customWidth="1"/>
    <col min="7313" max="7313" width="17.28515625" style="38" bestFit="1" customWidth="1"/>
    <col min="7314" max="7315" width="6.7109375" style="38" customWidth="1"/>
    <col min="7316" max="7316" width="8.5703125" style="38" bestFit="1" customWidth="1"/>
    <col min="7317" max="7317" width="5.7109375" style="38" customWidth="1"/>
    <col min="7318" max="7318" width="6.7109375" style="38" customWidth="1"/>
    <col min="7319" max="7320" width="5.7109375" style="38" customWidth="1"/>
    <col min="7321" max="7321" width="6.7109375" style="38" customWidth="1"/>
    <col min="7322" max="7323" width="5.7109375" style="38" customWidth="1"/>
    <col min="7324" max="7326" width="6.7109375" style="38" customWidth="1"/>
    <col min="7327" max="7331" width="5.7109375" style="38" customWidth="1"/>
    <col min="7332" max="7332" width="6.7109375" style="38" customWidth="1"/>
    <col min="7333" max="7333" width="1.7109375" style="38" customWidth="1"/>
    <col min="7334" max="7334" width="7.7109375" style="38" bestFit="1" customWidth="1"/>
    <col min="7335" max="7335" width="6.42578125" style="38" bestFit="1" customWidth="1"/>
    <col min="7336" max="7338" width="5.140625" style="38" bestFit="1" customWidth="1"/>
    <col min="7339" max="7339" width="5.7109375" style="38" customWidth="1"/>
    <col min="7340" max="7344" width="9.42578125" style="38" bestFit="1" customWidth="1"/>
    <col min="7345" max="7354" width="5.7109375" style="38" customWidth="1"/>
    <col min="7355" max="7567" width="8.85546875" style="38"/>
    <col min="7568" max="7568" width="7.140625" style="38" customWidth="1"/>
    <col min="7569" max="7569" width="17.28515625" style="38" bestFit="1" customWidth="1"/>
    <col min="7570" max="7571" width="6.7109375" style="38" customWidth="1"/>
    <col min="7572" max="7572" width="8.5703125" style="38" bestFit="1" customWidth="1"/>
    <col min="7573" max="7573" width="5.7109375" style="38" customWidth="1"/>
    <col min="7574" max="7574" width="6.7109375" style="38" customWidth="1"/>
    <col min="7575" max="7576" width="5.7109375" style="38" customWidth="1"/>
    <col min="7577" max="7577" width="6.7109375" style="38" customWidth="1"/>
    <col min="7578" max="7579" width="5.7109375" style="38" customWidth="1"/>
    <col min="7580" max="7582" width="6.7109375" style="38" customWidth="1"/>
    <col min="7583" max="7587" width="5.7109375" style="38" customWidth="1"/>
    <col min="7588" max="7588" width="6.7109375" style="38" customWidth="1"/>
    <col min="7589" max="7589" width="1.7109375" style="38" customWidth="1"/>
    <col min="7590" max="7590" width="7.7109375" style="38" bestFit="1" customWidth="1"/>
    <col min="7591" max="7591" width="6.42578125" style="38" bestFit="1" customWidth="1"/>
    <col min="7592" max="7594" width="5.140625" style="38" bestFit="1" customWidth="1"/>
    <col min="7595" max="7595" width="5.7109375" style="38" customWidth="1"/>
    <col min="7596" max="7600" width="9.42578125" style="38" bestFit="1" customWidth="1"/>
    <col min="7601" max="7610" width="5.7109375" style="38" customWidth="1"/>
    <col min="7611" max="7823" width="8.85546875" style="38"/>
    <col min="7824" max="7824" width="7.140625" style="38" customWidth="1"/>
    <col min="7825" max="7825" width="17.28515625" style="38" bestFit="1" customWidth="1"/>
    <col min="7826" max="7827" width="6.7109375" style="38" customWidth="1"/>
    <col min="7828" max="7828" width="8.5703125" style="38" bestFit="1" customWidth="1"/>
    <col min="7829" max="7829" width="5.7109375" style="38" customWidth="1"/>
    <col min="7830" max="7830" width="6.7109375" style="38" customWidth="1"/>
    <col min="7831" max="7832" width="5.7109375" style="38" customWidth="1"/>
    <col min="7833" max="7833" width="6.7109375" style="38" customWidth="1"/>
    <col min="7834" max="7835" width="5.7109375" style="38" customWidth="1"/>
    <col min="7836" max="7838" width="6.7109375" style="38" customWidth="1"/>
    <col min="7839" max="7843" width="5.7109375" style="38" customWidth="1"/>
    <col min="7844" max="7844" width="6.7109375" style="38" customWidth="1"/>
    <col min="7845" max="7845" width="1.7109375" style="38" customWidth="1"/>
    <col min="7846" max="7846" width="7.7109375" style="38" bestFit="1" customWidth="1"/>
    <col min="7847" max="7847" width="6.42578125" style="38" bestFit="1" customWidth="1"/>
    <col min="7848" max="7850" width="5.140625" style="38" bestFit="1" customWidth="1"/>
    <col min="7851" max="7851" width="5.7109375" style="38" customWidth="1"/>
    <col min="7852" max="7856" width="9.42578125" style="38" bestFit="1" customWidth="1"/>
    <col min="7857" max="7866" width="5.7109375" style="38" customWidth="1"/>
    <col min="7867" max="8079" width="8.85546875" style="38"/>
    <col min="8080" max="8080" width="7.140625" style="38" customWidth="1"/>
    <col min="8081" max="8081" width="17.28515625" style="38" bestFit="1" customWidth="1"/>
    <col min="8082" max="8083" width="6.7109375" style="38" customWidth="1"/>
    <col min="8084" max="8084" width="8.5703125" style="38" bestFit="1" customWidth="1"/>
    <col min="8085" max="8085" width="5.7109375" style="38" customWidth="1"/>
    <col min="8086" max="8086" width="6.7109375" style="38" customWidth="1"/>
    <col min="8087" max="8088" width="5.7109375" style="38" customWidth="1"/>
    <col min="8089" max="8089" width="6.7109375" style="38" customWidth="1"/>
    <col min="8090" max="8091" width="5.7109375" style="38" customWidth="1"/>
    <col min="8092" max="8094" width="6.7109375" style="38" customWidth="1"/>
    <col min="8095" max="8099" width="5.7109375" style="38" customWidth="1"/>
    <col min="8100" max="8100" width="6.7109375" style="38" customWidth="1"/>
    <col min="8101" max="8101" width="1.7109375" style="38" customWidth="1"/>
    <col min="8102" max="8102" width="7.7109375" style="38" bestFit="1" customWidth="1"/>
    <col min="8103" max="8103" width="6.42578125" style="38" bestFit="1" customWidth="1"/>
    <col min="8104" max="8106" width="5.140625" style="38" bestFit="1" customWidth="1"/>
    <col min="8107" max="8107" width="5.7109375" style="38" customWidth="1"/>
    <col min="8108" max="8112" width="9.42578125" style="38" bestFit="1" customWidth="1"/>
    <col min="8113" max="8122" width="5.7109375" style="38" customWidth="1"/>
    <col min="8123" max="8335" width="8.85546875" style="38"/>
    <col min="8336" max="8336" width="7.140625" style="38" customWidth="1"/>
    <col min="8337" max="8337" width="17.28515625" style="38" bestFit="1" customWidth="1"/>
    <col min="8338" max="8339" width="6.7109375" style="38" customWidth="1"/>
    <col min="8340" max="8340" width="8.5703125" style="38" bestFit="1" customWidth="1"/>
    <col min="8341" max="8341" width="5.7109375" style="38" customWidth="1"/>
    <col min="8342" max="8342" width="6.7109375" style="38" customWidth="1"/>
    <col min="8343" max="8344" width="5.7109375" style="38" customWidth="1"/>
    <col min="8345" max="8345" width="6.7109375" style="38" customWidth="1"/>
    <col min="8346" max="8347" width="5.7109375" style="38" customWidth="1"/>
    <col min="8348" max="8350" width="6.7109375" style="38" customWidth="1"/>
    <col min="8351" max="8355" width="5.7109375" style="38" customWidth="1"/>
    <col min="8356" max="8356" width="6.7109375" style="38" customWidth="1"/>
    <col min="8357" max="8357" width="1.7109375" style="38" customWidth="1"/>
    <col min="8358" max="8358" width="7.7109375" style="38" bestFit="1" customWidth="1"/>
    <col min="8359" max="8359" width="6.42578125" style="38" bestFit="1" customWidth="1"/>
    <col min="8360" max="8362" width="5.140625" style="38" bestFit="1" customWidth="1"/>
    <col min="8363" max="8363" width="5.7109375" style="38" customWidth="1"/>
    <col min="8364" max="8368" width="9.42578125" style="38" bestFit="1" customWidth="1"/>
    <col min="8369" max="8378" width="5.7109375" style="38" customWidth="1"/>
    <col min="8379" max="8591" width="8.85546875" style="38"/>
    <col min="8592" max="8592" width="7.140625" style="38" customWidth="1"/>
    <col min="8593" max="8593" width="17.28515625" style="38" bestFit="1" customWidth="1"/>
    <col min="8594" max="8595" width="6.7109375" style="38" customWidth="1"/>
    <col min="8596" max="8596" width="8.5703125" style="38" bestFit="1" customWidth="1"/>
    <col min="8597" max="8597" width="5.7109375" style="38" customWidth="1"/>
    <col min="8598" max="8598" width="6.7109375" style="38" customWidth="1"/>
    <col min="8599" max="8600" width="5.7109375" style="38" customWidth="1"/>
    <col min="8601" max="8601" width="6.7109375" style="38" customWidth="1"/>
    <col min="8602" max="8603" width="5.7109375" style="38" customWidth="1"/>
    <col min="8604" max="8606" width="6.7109375" style="38" customWidth="1"/>
    <col min="8607" max="8611" width="5.7109375" style="38" customWidth="1"/>
    <col min="8612" max="8612" width="6.7109375" style="38" customWidth="1"/>
    <col min="8613" max="8613" width="1.7109375" style="38" customWidth="1"/>
    <col min="8614" max="8614" width="7.7109375" style="38" bestFit="1" customWidth="1"/>
    <col min="8615" max="8615" width="6.42578125" style="38" bestFit="1" customWidth="1"/>
    <col min="8616" max="8618" width="5.140625" style="38" bestFit="1" customWidth="1"/>
    <col min="8619" max="8619" width="5.7109375" style="38" customWidth="1"/>
    <col min="8620" max="8624" width="9.42578125" style="38" bestFit="1" customWidth="1"/>
    <col min="8625" max="8634" width="5.7109375" style="38" customWidth="1"/>
    <col min="8635" max="8847" width="8.85546875" style="38"/>
    <col min="8848" max="8848" width="7.140625" style="38" customWidth="1"/>
    <col min="8849" max="8849" width="17.28515625" style="38" bestFit="1" customWidth="1"/>
    <col min="8850" max="8851" width="6.7109375" style="38" customWidth="1"/>
    <col min="8852" max="8852" width="8.5703125" style="38" bestFit="1" customWidth="1"/>
    <col min="8853" max="8853" width="5.7109375" style="38" customWidth="1"/>
    <col min="8854" max="8854" width="6.7109375" style="38" customWidth="1"/>
    <col min="8855" max="8856" width="5.7109375" style="38" customWidth="1"/>
    <col min="8857" max="8857" width="6.7109375" style="38" customWidth="1"/>
    <col min="8858" max="8859" width="5.7109375" style="38" customWidth="1"/>
    <col min="8860" max="8862" width="6.7109375" style="38" customWidth="1"/>
    <col min="8863" max="8867" width="5.7109375" style="38" customWidth="1"/>
    <col min="8868" max="8868" width="6.7109375" style="38" customWidth="1"/>
    <col min="8869" max="8869" width="1.7109375" style="38" customWidth="1"/>
    <col min="8870" max="8870" width="7.7109375" style="38" bestFit="1" customWidth="1"/>
    <col min="8871" max="8871" width="6.42578125" style="38" bestFit="1" customWidth="1"/>
    <col min="8872" max="8874" width="5.140625" style="38" bestFit="1" customWidth="1"/>
    <col min="8875" max="8875" width="5.7109375" style="38" customWidth="1"/>
    <col min="8876" max="8880" width="9.42578125" style="38" bestFit="1" customWidth="1"/>
    <col min="8881" max="8890" width="5.7109375" style="38" customWidth="1"/>
    <col min="8891" max="9103" width="8.85546875" style="38"/>
    <col min="9104" max="9104" width="7.140625" style="38" customWidth="1"/>
    <col min="9105" max="9105" width="17.28515625" style="38" bestFit="1" customWidth="1"/>
    <col min="9106" max="9107" width="6.7109375" style="38" customWidth="1"/>
    <col min="9108" max="9108" width="8.5703125" style="38" bestFit="1" customWidth="1"/>
    <col min="9109" max="9109" width="5.7109375" style="38" customWidth="1"/>
    <col min="9110" max="9110" width="6.7109375" style="38" customWidth="1"/>
    <col min="9111" max="9112" width="5.7109375" style="38" customWidth="1"/>
    <col min="9113" max="9113" width="6.7109375" style="38" customWidth="1"/>
    <col min="9114" max="9115" width="5.7109375" style="38" customWidth="1"/>
    <col min="9116" max="9118" width="6.7109375" style="38" customWidth="1"/>
    <col min="9119" max="9123" width="5.7109375" style="38" customWidth="1"/>
    <col min="9124" max="9124" width="6.7109375" style="38" customWidth="1"/>
    <col min="9125" max="9125" width="1.7109375" style="38" customWidth="1"/>
    <col min="9126" max="9126" width="7.7109375" style="38" bestFit="1" customWidth="1"/>
    <col min="9127" max="9127" width="6.42578125" style="38" bestFit="1" customWidth="1"/>
    <col min="9128" max="9130" width="5.140625" style="38" bestFit="1" customWidth="1"/>
    <col min="9131" max="9131" width="5.7109375" style="38" customWidth="1"/>
    <col min="9132" max="9136" width="9.42578125" style="38" bestFit="1" customWidth="1"/>
    <col min="9137" max="9146" width="5.7109375" style="38" customWidth="1"/>
    <col min="9147" max="9359" width="8.85546875" style="38"/>
    <col min="9360" max="9360" width="7.140625" style="38" customWidth="1"/>
    <col min="9361" max="9361" width="17.28515625" style="38" bestFit="1" customWidth="1"/>
    <col min="9362" max="9363" width="6.7109375" style="38" customWidth="1"/>
    <col min="9364" max="9364" width="8.5703125" style="38" bestFit="1" customWidth="1"/>
    <col min="9365" max="9365" width="5.7109375" style="38" customWidth="1"/>
    <col min="9366" max="9366" width="6.7109375" style="38" customWidth="1"/>
    <col min="9367" max="9368" width="5.7109375" style="38" customWidth="1"/>
    <col min="9369" max="9369" width="6.7109375" style="38" customWidth="1"/>
    <col min="9370" max="9371" width="5.7109375" style="38" customWidth="1"/>
    <col min="9372" max="9374" width="6.7109375" style="38" customWidth="1"/>
    <col min="9375" max="9379" width="5.7109375" style="38" customWidth="1"/>
    <col min="9380" max="9380" width="6.7109375" style="38" customWidth="1"/>
    <col min="9381" max="9381" width="1.7109375" style="38" customWidth="1"/>
    <col min="9382" max="9382" width="7.7109375" style="38" bestFit="1" customWidth="1"/>
    <col min="9383" max="9383" width="6.42578125" style="38" bestFit="1" customWidth="1"/>
    <col min="9384" max="9386" width="5.140625" style="38" bestFit="1" customWidth="1"/>
    <col min="9387" max="9387" width="5.7109375" style="38" customWidth="1"/>
    <col min="9388" max="9392" width="9.42578125" style="38" bestFit="1" customWidth="1"/>
    <col min="9393" max="9402" width="5.7109375" style="38" customWidth="1"/>
    <col min="9403" max="9615" width="8.85546875" style="38"/>
    <col min="9616" max="9616" width="7.140625" style="38" customWidth="1"/>
    <col min="9617" max="9617" width="17.28515625" style="38" bestFit="1" customWidth="1"/>
    <col min="9618" max="9619" width="6.7109375" style="38" customWidth="1"/>
    <col min="9620" max="9620" width="8.5703125" style="38" bestFit="1" customWidth="1"/>
    <col min="9621" max="9621" width="5.7109375" style="38" customWidth="1"/>
    <col min="9622" max="9622" width="6.7109375" style="38" customWidth="1"/>
    <col min="9623" max="9624" width="5.7109375" style="38" customWidth="1"/>
    <col min="9625" max="9625" width="6.7109375" style="38" customWidth="1"/>
    <col min="9626" max="9627" width="5.7109375" style="38" customWidth="1"/>
    <col min="9628" max="9630" width="6.7109375" style="38" customWidth="1"/>
    <col min="9631" max="9635" width="5.7109375" style="38" customWidth="1"/>
    <col min="9636" max="9636" width="6.7109375" style="38" customWidth="1"/>
    <col min="9637" max="9637" width="1.7109375" style="38" customWidth="1"/>
    <col min="9638" max="9638" width="7.7109375" style="38" bestFit="1" customWidth="1"/>
    <col min="9639" max="9639" width="6.42578125" style="38" bestFit="1" customWidth="1"/>
    <col min="9640" max="9642" width="5.140625" style="38" bestFit="1" customWidth="1"/>
    <col min="9643" max="9643" width="5.7109375" style="38" customWidth="1"/>
    <col min="9644" max="9648" width="9.42578125" style="38" bestFit="1" customWidth="1"/>
    <col min="9649" max="9658" width="5.7109375" style="38" customWidth="1"/>
    <col min="9659" max="9871" width="8.85546875" style="38"/>
    <col min="9872" max="9872" width="7.140625" style="38" customWidth="1"/>
    <col min="9873" max="9873" width="17.28515625" style="38" bestFit="1" customWidth="1"/>
    <col min="9874" max="9875" width="6.7109375" style="38" customWidth="1"/>
    <col min="9876" max="9876" width="8.5703125" style="38" bestFit="1" customWidth="1"/>
    <col min="9877" max="9877" width="5.7109375" style="38" customWidth="1"/>
    <col min="9878" max="9878" width="6.7109375" style="38" customWidth="1"/>
    <col min="9879" max="9880" width="5.7109375" style="38" customWidth="1"/>
    <col min="9881" max="9881" width="6.7109375" style="38" customWidth="1"/>
    <col min="9882" max="9883" width="5.7109375" style="38" customWidth="1"/>
    <col min="9884" max="9886" width="6.7109375" style="38" customWidth="1"/>
    <col min="9887" max="9891" width="5.7109375" style="38" customWidth="1"/>
    <col min="9892" max="9892" width="6.7109375" style="38" customWidth="1"/>
    <col min="9893" max="9893" width="1.7109375" style="38" customWidth="1"/>
    <col min="9894" max="9894" width="7.7109375" style="38" bestFit="1" customWidth="1"/>
    <col min="9895" max="9895" width="6.42578125" style="38" bestFit="1" customWidth="1"/>
    <col min="9896" max="9898" width="5.140625" style="38" bestFit="1" customWidth="1"/>
    <col min="9899" max="9899" width="5.7109375" style="38" customWidth="1"/>
    <col min="9900" max="9904" width="9.42578125" style="38" bestFit="1" customWidth="1"/>
    <col min="9905" max="9914" width="5.7109375" style="38" customWidth="1"/>
    <col min="9915" max="10127" width="8.85546875" style="38"/>
    <col min="10128" max="10128" width="7.140625" style="38" customWidth="1"/>
    <col min="10129" max="10129" width="17.28515625" style="38" bestFit="1" customWidth="1"/>
    <col min="10130" max="10131" width="6.7109375" style="38" customWidth="1"/>
    <col min="10132" max="10132" width="8.5703125" style="38" bestFit="1" customWidth="1"/>
    <col min="10133" max="10133" width="5.7109375" style="38" customWidth="1"/>
    <col min="10134" max="10134" width="6.7109375" style="38" customWidth="1"/>
    <col min="10135" max="10136" width="5.7109375" style="38" customWidth="1"/>
    <col min="10137" max="10137" width="6.7109375" style="38" customWidth="1"/>
    <col min="10138" max="10139" width="5.7109375" style="38" customWidth="1"/>
    <col min="10140" max="10142" width="6.7109375" style="38" customWidth="1"/>
    <col min="10143" max="10147" width="5.7109375" style="38" customWidth="1"/>
    <col min="10148" max="10148" width="6.7109375" style="38" customWidth="1"/>
    <col min="10149" max="10149" width="1.7109375" style="38" customWidth="1"/>
    <col min="10150" max="10150" width="7.7109375" style="38" bestFit="1" customWidth="1"/>
    <col min="10151" max="10151" width="6.42578125" style="38" bestFit="1" customWidth="1"/>
    <col min="10152" max="10154" width="5.140625" style="38" bestFit="1" customWidth="1"/>
    <col min="10155" max="10155" width="5.7109375" style="38" customWidth="1"/>
    <col min="10156" max="10160" width="9.42578125" style="38" bestFit="1" customWidth="1"/>
    <col min="10161" max="10170" width="5.7109375" style="38" customWidth="1"/>
    <col min="10171" max="10383" width="8.85546875" style="38"/>
    <col min="10384" max="10384" width="7.140625" style="38" customWidth="1"/>
    <col min="10385" max="10385" width="17.28515625" style="38" bestFit="1" customWidth="1"/>
    <col min="10386" max="10387" width="6.7109375" style="38" customWidth="1"/>
    <col min="10388" max="10388" width="8.5703125" style="38" bestFit="1" customWidth="1"/>
    <col min="10389" max="10389" width="5.7109375" style="38" customWidth="1"/>
    <col min="10390" max="10390" width="6.7109375" style="38" customWidth="1"/>
    <col min="10391" max="10392" width="5.7109375" style="38" customWidth="1"/>
    <col min="10393" max="10393" width="6.7109375" style="38" customWidth="1"/>
    <col min="10394" max="10395" width="5.7109375" style="38" customWidth="1"/>
    <col min="10396" max="10398" width="6.7109375" style="38" customWidth="1"/>
    <col min="10399" max="10403" width="5.7109375" style="38" customWidth="1"/>
    <col min="10404" max="10404" width="6.7109375" style="38" customWidth="1"/>
    <col min="10405" max="10405" width="1.7109375" style="38" customWidth="1"/>
    <col min="10406" max="10406" width="7.7109375" style="38" bestFit="1" customWidth="1"/>
    <col min="10407" max="10407" width="6.42578125" style="38" bestFit="1" customWidth="1"/>
    <col min="10408" max="10410" width="5.140625" style="38" bestFit="1" customWidth="1"/>
    <col min="10411" max="10411" width="5.7109375" style="38" customWidth="1"/>
    <col min="10412" max="10416" width="9.42578125" style="38" bestFit="1" customWidth="1"/>
    <col min="10417" max="10426" width="5.7109375" style="38" customWidth="1"/>
    <col min="10427" max="10639" width="8.85546875" style="38"/>
    <col min="10640" max="10640" width="7.140625" style="38" customWidth="1"/>
    <col min="10641" max="10641" width="17.28515625" style="38" bestFit="1" customWidth="1"/>
    <col min="10642" max="10643" width="6.7109375" style="38" customWidth="1"/>
    <col min="10644" max="10644" width="8.5703125" style="38" bestFit="1" customWidth="1"/>
    <col min="10645" max="10645" width="5.7109375" style="38" customWidth="1"/>
    <col min="10646" max="10646" width="6.7109375" style="38" customWidth="1"/>
    <col min="10647" max="10648" width="5.7109375" style="38" customWidth="1"/>
    <col min="10649" max="10649" width="6.7109375" style="38" customWidth="1"/>
    <col min="10650" max="10651" width="5.7109375" style="38" customWidth="1"/>
    <col min="10652" max="10654" width="6.7109375" style="38" customWidth="1"/>
    <col min="10655" max="10659" width="5.7109375" style="38" customWidth="1"/>
    <col min="10660" max="10660" width="6.7109375" style="38" customWidth="1"/>
    <col min="10661" max="10661" width="1.7109375" style="38" customWidth="1"/>
    <col min="10662" max="10662" width="7.7109375" style="38" bestFit="1" customWidth="1"/>
    <col min="10663" max="10663" width="6.42578125" style="38" bestFit="1" customWidth="1"/>
    <col min="10664" max="10666" width="5.140625" style="38" bestFit="1" customWidth="1"/>
    <col min="10667" max="10667" width="5.7109375" style="38" customWidth="1"/>
    <col min="10668" max="10672" width="9.42578125" style="38" bestFit="1" customWidth="1"/>
    <col min="10673" max="10682" width="5.7109375" style="38" customWidth="1"/>
    <col min="10683" max="10895" width="8.85546875" style="38"/>
    <col min="10896" max="10896" width="7.140625" style="38" customWidth="1"/>
    <col min="10897" max="10897" width="17.28515625" style="38" bestFit="1" customWidth="1"/>
    <col min="10898" max="10899" width="6.7109375" style="38" customWidth="1"/>
    <col min="10900" max="10900" width="8.5703125" style="38" bestFit="1" customWidth="1"/>
    <col min="10901" max="10901" width="5.7109375" style="38" customWidth="1"/>
    <col min="10902" max="10902" width="6.7109375" style="38" customWidth="1"/>
    <col min="10903" max="10904" width="5.7109375" style="38" customWidth="1"/>
    <col min="10905" max="10905" width="6.7109375" style="38" customWidth="1"/>
    <col min="10906" max="10907" width="5.7109375" style="38" customWidth="1"/>
    <col min="10908" max="10910" width="6.7109375" style="38" customWidth="1"/>
    <col min="10911" max="10915" width="5.7109375" style="38" customWidth="1"/>
    <col min="10916" max="10916" width="6.7109375" style="38" customWidth="1"/>
    <col min="10917" max="10917" width="1.7109375" style="38" customWidth="1"/>
    <col min="10918" max="10918" width="7.7109375" style="38" bestFit="1" customWidth="1"/>
    <col min="10919" max="10919" width="6.42578125" style="38" bestFit="1" customWidth="1"/>
    <col min="10920" max="10922" width="5.140625" style="38" bestFit="1" customWidth="1"/>
    <col min="10923" max="10923" width="5.7109375" style="38" customWidth="1"/>
    <col min="10924" max="10928" width="9.42578125" style="38" bestFit="1" customWidth="1"/>
    <col min="10929" max="10938" width="5.7109375" style="38" customWidth="1"/>
    <col min="10939" max="11151" width="8.85546875" style="38"/>
    <col min="11152" max="11152" width="7.140625" style="38" customWidth="1"/>
    <col min="11153" max="11153" width="17.28515625" style="38" bestFit="1" customWidth="1"/>
    <col min="11154" max="11155" width="6.7109375" style="38" customWidth="1"/>
    <col min="11156" max="11156" width="8.5703125" style="38" bestFit="1" customWidth="1"/>
    <col min="11157" max="11157" width="5.7109375" style="38" customWidth="1"/>
    <col min="11158" max="11158" width="6.7109375" style="38" customWidth="1"/>
    <col min="11159" max="11160" width="5.7109375" style="38" customWidth="1"/>
    <col min="11161" max="11161" width="6.7109375" style="38" customWidth="1"/>
    <col min="11162" max="11163" width="5.7109375" style="38" customWidth="1"/>
    <col min="11164" max="11166" width="6.7109375" style="38" customWidth="1"/>
    <col min="11167" max="11171" width="5.7109375" style="38" customWidth="1"/>
    <col min="11172" max="11172" width="6.7109375" style="38" customWidth="1"/>
    <col min="11173" max="11173" width="1.7109375" style="38" customWidth="1"/>
    <col min="11174" max="11174" width="7.7109375" style="38" bestFit="1" customWidth="1"/>
    <col min="11175" max="11175" width="6.42578125" style="38" bestFit="1" customWidth="1"/>
    <col min="11176" max="11178" width="5.140625" style="38" bestFit="1" customWidth="1"/>
    <col min="11179" max="11179" width="5.7109375" style="38" customWidth="1"/>
    <col min="11180" max="11184" width="9.42578125" style="38" bestFit="1" customWidth="1"/>
    <col min="11185" max="11194" width="5.7109375" style="38" customWidth="1"/>
    <col min="11195" max="11407" width="8.85546875" style="38"/>
    <col min="11408" max="11408" width="7.140625" style="38" customWidth="1"/>
    <col min="11409" max="11409" width="17.28515625" style="38" bestFit="1" customWidth="1"/>
    <col min="11410" max="11411" width="6.7109375" style="38" customWidth="1"/>
    <col min="11412" max="11412" width="8.5703125" style="38" bestFit="1" customWidth="1"/>
    <col min="11413" max="11413" width="5.7109375" style="38" customWidth="1"/>
    <col min="11414" max="11414" width="6.7109375" style="38" customWidth="1"/>
    <col min="11415" max="11416" width="5.7109375" style="38" customWidth="1"/>
    <col min="11417" max="11417" width="6.7109375" style="38" customWidth="1"/>
    <col min="11418" max="11419" width="5.7109375" style="38" customWidth="1"/>
    <col min="11420" max="11422" width="6.7109375" style="38" customWidth="1"/>
    <col min="11423" max="11427" width="5.7109375" style="38" customWidth="1"/>
    <col min="11428" max="11428" width="6.7109375" style="38" customWidth="1"/>
    <col min="11429" max="11429" width="1.7109375" style="38" customWidth="1"/>
    <col min="11430" max="11430" width="7.7109375" style="38" bestFit="1" customWidth="1"/>
    <col min="11431" max="11431" width="6.42578125" style="38" bestFit="1" customWidth="1"/>
    <col min="11432" max="11434" width="5.140625" style="38" bestFit="1" customWidth="1"/>
    <col min="11435" max="11435" width="5.7109375" style="38" customWidth="1"/>
    <col min="11436" max="11440" width="9.42578125" style="38" bestFit="1" customWidth="1"/>
    <col min="11441" max="11450" width="5.7109375" style="38" customWidth="1"/>
    <col min="11451" max="11663" width="8.85546875" style="38"/>
    <col min="11664" max="11664" width="7.140625" style="38" customWidth="1"/>
    <col min="11665" max="11665" width="17.28515625" style="38" bestFit="1" customWidth="1"/>
    <col min="11666" max="11667" width="6.7109375" style="38" customWidth="1"/>
    <col min="11668" max="11668" width="8.5703125" style="38" bestFit="1" customWidth="1"/>
    <col min="11669" max="11669" width="5.7109375" style="38" customWidth="1"/>
    <col min="11670" max="11670" width="6.7109375" style="38" customWidth="1"/>
    <col min="11671" max="11672" width="5.7109375" style="38" customWidth="1"/>
    <col min="11673" max="11673" width="6.7109375" style="38" customWidth="1"/>
    <col min="11674" max="11675" width="5.7109375" style="38" customWidth="1"/>
    <col min="11676" max="11678" width="6.7109375" style="38" customWidth="1"/>
    <col min="11679" max="11683" width="5.7109375" style="38" customWidth="1"/>
    <col min="11684" max="11684" width="6.7109375" style="38" customWidth="1"/>
    <col min="11685" max="11685" width="1.7109375" style="38" customWidth="1"/>
    <col min="11686" max="11686" width="7.7109375" style="38" bestFit="1" customWidth="1"/>
    <col min="11687" max="11687" width="6.42578125" style="38" bestFit="1" customWidth="1"/>
    <col min="11688" max="11690" width="5.140625" style="38" bestFit="1" customWidth="1"/>
    <col min="11691" max="11691" width="5.7109375" style="38" customWidth="1"/>
    <col min="11692" max="11696" width="9.42578125" style="38" bestFit="1" customWidth="1"/>
    <col min="11697" max="11706" width="5.7109375" style="38" customWidth="1"/>
    <col min="11707" max="11919" width="8.85546875" style="38"/>
    <col min="11920" max="11920" width="7.140625" style="38" customWidth="1"/>
    <col min="11921" max="11921" width="17.28515625" style="38" bestFit="1" customWidth="1"/>
    <col min="11922" max="11923" width="6.7109375" style="38" customWidth="1"/>
    <col min="11924" max="11924" width="8.5703125" style="38" bestFit="1" customWidth="1"/>
    <col min="11925" max="11925" width="5.7109375" style="38" customWidth="1"/>
    <col min="11926" max="11926" width="6.7109375" style="38" customWidth="1"/>
    <col min="11927" max="11928" width="5.7109375" style="38" customWidth="1"/>
    <col min="11929" max="11929" width="6.7109375" style="38" customWidth="1"/>
    <col min="11930" max="11931" width="5.7109375" style="38" customWidth="1"/>
    <col min="11932" max="11934" width="6.7109375" style="38" customWidth="1"/>
    <col min="11935" max="11939" width="5.7109375" style="38" customWidth="1"/>
    <col min="11940" max="11940" width="6.7109375" style="38" customWidth="1"/>
    <col min="11941" max="11941" width="1.7109375" style="38" customWidth="1"/>
    <col min="11942" max="11942" width="7.7109375" style="38" bestFit="1" customWidth="1"/>
    <col min="11943" max="11943" width="6.42578125" style="38" bestFit="1" customWidth="1"/>
    <col min="11944" max="11946" width="5.140625" style="38" bestFit="1" customWidth="1"/>
    <col min="11947" max="11947" width="5.7109375" style="38" customWidth="1"/>
    <col min="11948" max="11952" width="9.42578125" style="38" bestFit="1" customWidth="1"/>
    <col min="11953" max="11962" width="5.7109375" style="38" customWidth="1"/>
    <col min="11963" max="12175" width="8.85546875" style="38"/>
    <col min="12176" max="12176" width="7.140625" style="38" customWidth="1"/>
    <col min="12177" max="12177" width="17.28515625" style="38" bestFit="1" customWidth="1"/>
    <col min="12178" max="12179" width="6.7109375" style="38" customWidth="1"/>
    <col min="12180" max="12180" width="8.5703125" style="38" bestFit="1" customWidth="1"/>
    <col min="12181" max="12181" width="5.7109375" style="38" customWidth="1"/>
    <col min="12182" max="12182" width="6.7109375" style="38" customWidth="1"/>
    <col min="12183" max="12184" width="5.7109375" style="38" customWidth="1"/>
    <col min="12185" max="12185" width="6.7109375" style="38" customWidth="1"/>
    <col min="12186" max="12187" width="5.7109375" style="38" customWidth="1"/>
    <col min="12188" max="12190" width="6.7109375" style="38" customWidth="1"/>
    <col min="12191" max="12195" width="5.7109375" style="38" customWidth="1"/>
    <col min="12196" max="12196" width="6.7109375" style="38" customWidth="1"/>
    <col min="12197" max="12197" width="1.7109375" style="38" customWidth="1"/>
    <col min="12198" max="12198" width="7.7109375" style="38" bestFit="1" customWidth="1"/>
    <col min="12199" max="12199" width="6.42578125" style="38" bestFit="1" customWidth="1"/>
    <col min="12200" max="12202" width="5.140625" style="38" bestFit="1" customWidth="1"/>
    <col min="12203" max="12203" width="5.7109375" style="38" customWidth="1"/>
    <col min="12204" max="12208" width="9.42578125" style="38" bestFit="1" customWidth="1"/>
    <col min="12209" max="12218" width="5.7109375" style="38" customWidth="1"/>
    <col min="12219" max="12431" width="8.85546875" style="38"/>
    <col min="12432" max="12432" width="7.140625" style="38" customWidth="1"/>
    <col min="12433" max="12433" width="17.28515625" style="38" bestFit="1" customWidth="1"/>
    <col min="12434" max="12435" width="6.7109375" style="38" customWidth="1"/>
    <col min="12436" max="12436" width="8.5703125" style="38" bestFit="1" customWidth="1"/>
    <col min="12437" max="12437" width="5.7109375" style="38" customWidth="1"/>
    <col min="12438" max="12438" width="6.7109375" style="38" customWidth="1"/>
    <col min="12439" max="12440" width="5.7109375" style="38" customWidth="1"/>
    <col min="12441" max="12441" width="6.7109375" style="38" customWidth="1"/>
    <col min="12442" max="12443" width="5.7109375" style="38" customWidth="1"/>
    <col min="12444" max="12446" width="6.7109375" style="38" customWidth="1"/>
    <col min="12447" max="12451" width="5.7109375" style="38" customWidth="1"/>
    <col min="12452" max="12452" width="6.7109375" style="38" customWidth="1"/>
    <col min="12453" max="12453" width="1.7109375" style="38" customWidth="1"/>
    <col min="12454" max="12454" width="7.7109375" style="38" bestFit="1" customWidth="1"/>
    <col min="12455" max="12455" width="6.42578125" style="38" bestFit="1" customWidth="1"/>
    <col min="12456" max="12458" width="5.140625" style="38" bestFit="1" customWidth="1"/>
    <col min="12459" max="12459" width="5.7109375" style="38" customWidth="1"/>
    <col min="12460" max="12464" width="9.42578125" style="38" bestFit="1" customWidth="1"/>
    <col min="12465" max="12474" width="5.7109375" style="38" customWidth="1"/>
    <col min="12475" max="12687" width="8.85546875" style="38"/>
    <col min="12688" max="12688" width="7.140625" style="38" customWidth="1"/>
    <col min="12689" max="12689" width="17.28515625" style="38" bestFit="1" customWidth="1"/>
    <col min="12690" max="12691" width="6.7109375" style="38" customWidth="1"/>
    <col min="12692" max="12692" width="8.5703125" style="38" bestFit="1" customWidth="1"/>
    <col min="12693" max="12693" width="5.7109375" style="38" customWidth="1"/>
    <col min="12694" max="12694" width="6.7109375" style="38" customWidth="1"/>
    <col min="12695" max="12696" width="5.7109375" style="38" customWidth="1"/>
    <col min="12697" max="12697" width="6.7109375" style="38" customWidth="1"/>
    <col min="12698" max="12699" width="5.7109375" style="38" customWidth="1"/>
    <col min="12700" max="12702" width="6.7109375" style="38" customWidth="1"/>
    <col min="12703" max="12707" width="5.7109375" style="38" customWidth="1"/>
    <col min="12708" max="12708" width="6.7109375" style="38" customWidth="1"/>
    <col min="12709" max="12709" width="1.7109375" style="38" customWidth="1"/>
    <col min="12710" max="12710" width="7.7109375" style="38" bestFit="1" customWidth="1"/>
    <col min="12711" max="12711" width="6.42578125" style="38" bestFit="1" customWidth="1"/>
    <col min="12712" max="12714" width="5.140625" style="38" bestFit="1" customWidth="1"/>
    <col min="12715" max="12715" width="5.7109375" style="38" customWidth="1"/>
    <col min="12716" max="12720" width="9.42578125" style="38" bestFit="1" customWidth="1"/>
    <col min="12721" max="12730" width="5.7109375" style="38" customWidth="1"/>
    <col min="12731" max="12943" width="8.85546875" style="38"/>
    <col min="12944" max="12944" width="7.140625" style="38" customWidth="1"/>
    <col min="12945" max="12945" width="17.28515625" style="38" bestFit="1" customWidth="1"/>
    <col min="12946" max="12947" width="6.7109375" style="38" customWidth="1"/>
    <col min="12948" max="12948" width="8.5703125" style="38" bestFit="1" customWidth="1"/>
    <col min="12949" max="12949" width="5.7109375" style="38" customWidth="1"/>
    <col min="12950" max="12950" width="6.7109375" style="38" customWidth="1"/>
    <col min="12951" max="12952" width="5.7109375" style="38" customWidth="1"/>
    <col min="12953" max="12953" width="6.7109375" style="38" customWidth="1"/>
    <col min="12954" max="12955" width="5.7109375" style="38" customWidth="1"/>
    <col min="12956" max="12958" width="6.7109375" style="38" customWidth="1"/>
    <col min="12959" max="12963" width="5.7109375" style="38" customWidth="1"/>
    <col min="12964" max="12964" width="6.7109375" style="38" customWidth="1"/>
    <col min="12965" max="12965" width="1.7109375" style="38" customWidth="1"/>
    <col min="12966" max="12966" width="7.7109375" style="38" bestFit="1" customWidth="1"/>
    <col min="12967" max="12967" width="6.42578125" style="38" bestFit="1" customWidth="1"/>
    <col min="12968" max="12970" width="5.140625" style="38" bestFit="1" customWidth="1"/>
    <col min="12971" max="12971" width="5.7109375" style="38" customWidth="1"/>
    <col min="12972" max="12976" width="9.42578125" style="38" bestFit="1" customWidth="1"/>
    <col min="12977" max="12986" width="5.7109375" style="38" customWidth="1"/>
    <col min="12987" max="13199" width="8.85546875" style="38"/>
    <col min="13200" max="13200" width="7.140625" style="38" customWidth="1"/>
    <col min="13201" max="13201" width="17.28515625" style="38" bestFit="1" customWidth="1"/>
    <col min="13202" max="13203" width="6.7109375" style="38" customWidth="1"/>
    <col min="13204" max="13204" width="8.5703125" style="38" bestFit="1" customWidth="1"/>
    <col min="13205" max="13205" width="5.7109375" style="38" customWidth="1"/>
    <col min="13206" max="13206" width="6.7109375" style="38" customWidth="1"/>
    <col min="13207" max="13208" width="5.7109375" style="38" customWidth="1"/>
    <col min="13209" max="13209" width="6.7109375" style="38" customWidth="1"/>
    <col min="13210" max="13211" width="5.7109375" style="38" customWidth="1"/>
    <col min="13212" max="13214" width="6.7109375" style="38" customWidth="1"/>
    <col min="13215" max="13219" width="5.7109375" style="38" customWidth="1"/>
    <col min="13220" max="13220" width="6.7109375" style="38" customWidth="1"/>
    <col min="13221" max="13221" width="1.7109375" style="38" customWidth="1"/>
    <col min="13222" max="13222" width="7.7109375" style="38" bestFit="1" customWidth="1"/>
    <col min="13223" max="13223" width="6.42578125" style="38" bestFit="1" customWidth="1"/>
    <col min="13224" max="13226" width="5.140625" style="38" bestFit="1" customWidth="1"/>
    <col min="13227" max="13227" width="5.7109375" style="38" customWidth="1"/>
    <col min="13228" max="13232" width="9.42578125" style="38" bestFit="1" customWidth="1"/>
    <col min="13233" max="13242" width="5.7109375" style="38" customWidth="1"/>
    <col min="13243" max="13455" width="8.85546875" style="38"/>
    <col min="13456" max="13456" width="7.140625" style="38" customWidth="1"/>
    <col min="13457" max="13457" width="17.28515625" style="38" bestFit="1" customWidth="1"/>
    <col min="13458" max="13459" width="6.7109375" style="38" customWidth="1"/>
    <col min="13460" max="13460" width="8.5703125" style="38" bestFit="1" customWidth="1"/>
    <col min="13461" max="13461" width="5.7109375" style="38" customWidth="1"/>
    <col min="13462" max="13462" width="6.7109375" style="38" customWidth="1"/>
    <col min="13463" max="13464" width="5.7109375" style="38" customWidth="1"/>
    <col min="13465" max="13465" width="6.7109375" style="38" customWidth="1"/>
    <col min="13466" max="13467" width="5.7109375" style="38" customWidth="1"/>
    <col min="13468" max="13470" width="6.7109375" style="38" customWidth="1"/>
    <col min="13471" max="13475" width="5.7109375" style="38" customWidth="1"/>
    <col min="13476" max="13476" width="6.7109375" style="38" customWidth="1"/>
    <col min="13477" max="13477" width="1.7109375" style="38" customWidth="1"/>
    <col min="13478" max="13478" width="7.7109375" style="38" bestFit="1" customWidth="1"/>
    <col min="13479" max="13479" width="6.42578125" style="38" bestFit="1" customWidth="1"/>
    <col min="13480" max="13482" width="5.140625" style="38" bestFit="1" customWidth="1"/>
    <col min="13483" max="13483" width="5.7109375" style="38" customWidth="1"/>
    <col min="13484" max="13488" width="9.42578125" style="38" bestFit="1" customWidth="1"/>
    <col min="13489" max="13498" width="5.7109375" style="38" customWidth="1"/>
    <col min="13499" max="13711" width="8.85546875" style="38"/>
    <col min="13712" max="13712" width="7.140625" style="38" customWidth="1"/>
    <col min="13713" max="13713" width="17.28515625" style="38" bestFit="1" customWidth="1"/>
    <col min="13714" max="13715" width="6.7109375" style="38" customWidth="1"/>
    <col min="13716" max="13716" width="8.5703125" style="38" bestFit="1" customWidth="1"/>
    <col min="13717" max="13717" width="5.7109375" style="38" customWidth="1"/>
    <col min="13718" max="13718" width="6.7109375" style="38" customWidth="1"/>
    <col min="13719" max="13720" width="5.7109375" style="38" customWidth="1"/>
    <col min="13721" max="13721" width="6.7109375" style="38" customWidth="1"/>
    <col min="13722" max="13723" width="5.7109375" style="38" customWidth="1"/>
    <col min="13724" max="13726" width="6.7109375" style="38" customWidth="1"/>
    <col min="13727" max="13731" width="5.7109375" style="38" customWidth="1"/>
    <col min="13732" max="13732" width="6.7109375" style="38" customWidth="1"/>
    <col min="13733" max="13733" width="1.7109375" style="38" customWidth="1"/>
    <col min="13734" max="13734" width="7.7109375" style="38" bestFit="1" customWidth="1"/>
    <col min="13735" max="13735" width="6.42578125" style="38" bestFit="1" customWidth="1"/>
    <col min="13736" max="13738" width="5.140625" style="38" bestFit="1" customWidth="1"/>
    <col min="13739" max="13739" width="5.7109375" style="38" customWidth="1"/>
    <col min="13740" max="13744" width="9.42578125" style="38" bestFit="1" customWidth="1"/>
    <col min="13745" max="13754" width="5.7109375" style="38" customWidth="1"/>
    <col min="13755" max="13967" width="8.85546875" style="38"/>
    <col min="13968" max="13968" width="7.140625" style="38" customWidth="1"/>
    <col min="13969" max="13969" width="17.28515625" style="38" bestFit="1" customWidth="1"/>
    <col min="13970" max="13971" width="6.7109375" style="38" customWidth="1"/>
    <col min="13972" max="13972" width="8.5703125" style="38" bestFit="1" customWidth="1"/>
    <col min="13973" max="13973" width="5.7109375" style="38" customWidth="1"/>
    <col min="13974" max="13974" width="6.7109375" style="38" customWidth="1"/>
    <col min="13975" max="13976" width="5.7109375" style="38" customWidth="1"/>
    <col min="13977" max="13977" width="6.7109375" style="38" customWidth="1"/>
    <col min="13978" max="13979" width="5.7109375" style="38" customWidth="1"/>
    <col min="13980" max="13982" width="6.7109375" style="38" customWidth="1"/>
    <col min="13983" max="13987" width="5.7109375" style="38" customWidth="1"/>
    <col min="13988" max="13988" width="6.7109375" style="38" customWidth="1"/>
    <col min="13989" max="13989" width="1.7109375" style="38" customWidth="1"/>
    <col min="13990" max="13990" width="7.7109375" style="38" bestFit="1" customWidth="1"/>
    <col min="13991" max="13991" width="6.42578125" style="38" bestFit="1" customWidth="1"/>
    <col min="13992" max="13994" width="5.140625" style="38" bestFit="1" customWidth="1"/>
    <col min="13995" max="13995" width="5.7109375" style="38" customWidth="1"/>
    <col min="13996" max="14000" width="9.42578125" style="38" bestFit="1" customWidth="1"/>
    <col min="14001" max="14010" width="5.7109375" style="38" customWidth="1"/>
    <col min="14011" max="14223" width="8.85546875" style="38"/>
    <col min="14224" max="14224" width="7.140625" style="38" customWidth="1"/>
    <col min="14225" max="14225" width="17.28515625" style="38" bestFit="1" customWidth="1"/>
    <col min="14226" max="14227" width="6.7109375" style="38" customWidth="1"/>
    <col min="14228" max="14228" width="8.5703125" style="38" bestFit="1" customWidth="1"/>
    <col min="14229" max="14229" width="5.7109375" style="38" customWidth="1"/>
    <col min="14230" max="14230" width="6.7109375" style="38" customWidth="1"/>
    <col min="14231" max="14232" width="5.7109375" style="38" customWidth="1"/>
    <col min="14233" max="14233" width="6.7109375" style="38" customWidth="1"/>
    <col min="14234" max="14235" width="5.7109375" style="38" customWidth="1"/>
    <col min="14236" max="14238" width="6.7109375" style="38" customWidth="1"/>
    <col min="14239" max="14243" width="5.7109375" style="38" customWidth="1"/>
    <col min="14244" max="14244" width="6.7109375" style="38" customWidth="1"/>
    <col min="14245" max="14245" width="1.7109375" style="38" customWidth="1"/>
    <col min="14246" max="14246" width="7.7109375" style="38" bestFit="1" customWidth="1"/>
    <col min="14247" max="14247" width="6.42578125" style="38" bestFit="1" customWidth="1"/>
    <col min="14248" max="14250" width="5.140625" style="38" bestFit="1" customWidth="1"/>
    <col min="14251" max="14251" width="5.7109375" style="38" customWidth="1"/>
    <col min="14252" max="14256" width="9.42578125" style="38" bestFit="1" customWidth="1"/>
    <col min="14257" max="14266" width="5.7109375" style="38" customWidth="1"/>
    <col min="14267" max="14479" width="8.85546875" style="38"/>
    <col min="14480" max="14480" width="7.140625" style="38" customWidth="1"/>
    <col min="14481" max="14481" width="17.28515625" style="38" bestFit="1" customWidth="1"/>
    <col min="14482" max="14483" width="6.7109375" style="38" customWidth="1"/>
    <col min="14484" max="14484" width="8.5703125" style="38" bestFit="1" customWidth="1"/>
    <col min="14485" max="14485" width="5.7109375" style="38" customWidth="1"/>
    <col min="14486" max="14486" width="6.7109375" style="38" customWidth="1"/>
    <col min="14487" max="14488" width="5.7109375" style="38" customWidth="1"/>
    <col min="14489" max="14489" width="6.7109375" style="38" customWidth="1"/>
    <col min="14490" max="14491" width="5.7109375" style="38" customWidth="1"/>
    <col min="14492" max="14494" width="6.7109375" style="38" customWidth="1"/>
    <col min="14495" max="14499" width="5.7109375" style="38" customWidth="1"/>
    <col min="14500" max="14500" width="6.7109375" style="38" customWidth="1"/>
    <col min="14501" max="14501" width="1.7109375" style="38" customWidth="1"/>
    <col min="14502" max="14502" width="7.7109375" style="38" bestFit="1" customWidth="1"/>
    <col min="14503" max="14503" width="6.42578125" style="38" bestFit="1" customWidth="1"/>
    <col min="14504" max="14506" width="5.140625" style="38" bestFit="1" customWidth="1"/>
    <col min="14507" max="14507" width="5.7109375" style="38" customWidth="1"/>
    <col min="14508" max="14512" width="9.42578125" style="38" bestFit="1" customWidth="1"/>
    <col min="14513" max="14522" width="5.7109375" style="38" customWidth="1"/>
    <col min="14523" max="14735" width="8.85546875" style="38"/>
    <col min="14736" max="14736" width="7.140625" style="38" customWidth="1"/>
    <col min="14737" max="14737" width="17.28515625" style="38" bestFit="1" customWidth="1"/>
    <col min="14738" max="14739" width="6.7109375" style="38" customWidth="1"/>
    <col min="14740" max="14740" width="8.5703125" style="38" bestFit="1" customWidth="1"/>
    <col min="14741" max="14741" width="5.7109375" style="38" customWidth="1"/>
    <col min="14742" max="14742" width="6.7109375" style="38" customWidth="1"/>
    <col min="14743" max="14744" width="5.7109375" style="38" customWidth="1"/>
    <col min="14745" max="14745" width="6.7109375" style="38" customWidth="1"/>
    <col min="14746" max="14747" width="5.7109375" style="38" customWidth="1"/>
    <col min="14748" max="14750" width="6.7109375" style="38" customWidth="1"/>
    <col min="14751" max="14755" width="5.7109375" style="38" customWidth="1"/>
    <col min="14756" max="14756" width="6.7109375" style="38" customWidth="1"/>
    <col min="14757" max="14757" width="1.7109375" style="38" customWidth="1"/>
    <col min="14758" max="14758" width="7.7109375" style="38" bestFit="1" customWidth="1"/>
    <col min="14759" max="14759" width="6.42578125" style="38" bestFit="1" customWidth="1"/>
    <col min="14760" max="14762" width="5.140625" style="38" bestFit="1" customWidth="1"/>
    <col min="14763" max="14763" width="5.7109375" style="38" customWidth="1"/>
    <col min="14764" max="14768" width="9.42578125" style="38" bestFit="1" customWidth="1"/>
    <col min="14769" max="14778" width="5.7109375" style="38" customWidth="1"/>
    <col min="14779" max="14991" width="8.85546875" style="38"/>
    <col min="14992" max="14992" width="7.140625" style="38" customWidth="1"/>
    <col min="14993" max="14993" width="17.28515625" style="38" bestFit="1" customWidth="1"/>
    <col min="14994" max="14995" width="6.7109375" style="38" customWidth="1"/>
    <col min="14996" max="14996" width="8.5703125" style="38" bestFit="1" customWidth="1"/>
    <col min="14997" max="14997" width="5.7109375" style="38" customWidth="1"/>
    <col min="14998" max="14998" width="6.7109375" style="38" customWidth="1"/>
    <col min="14999" max="15000" width="5.7109375" style="38" customWidth="1"/>
    <col min="15001" max="15001" width="6.7109375" style="38" customWidth="1"/>
    <col min="15002" max="15003" width="5.7109375" style="38" customWidth="1"/>
    <col min="15004" max="15006" width="6.7109375" style="38" customWidth="1"/>
    <col min="15007" max="15011" width="5.7109375" style="38" customWidth="1"/>
    <col min="15012" max="15012" width="6.7109375" style="38" customWidth="1"/>
    <col min="15013" max="15013" width="1.7109375" style="38" customWidth="1"/>
    <col min="15014" max="15014" width="7.7109375" style="38" bestFit="1" customWidth="1"/>
    <col min="15015" max="15015" width="6.42578125" style="38" bestFit="1" customWidth="1"/>
    <col min="15016" max="15018" width="5.140625" style="38" bestFit="1" customWidth="1"/>
    <col min="15019" max="15019" width="5.7109375" style="38" customWidth="1"/>
    <col min="15020" max="15024" width="9.42578125" style="38" bestFit="1" customWidth="1"/>
    <col min="15025" max="15034" width="5.7109375" style="38" customWidth="1"/>
    <col min="15035" max="15247" width="8.85546875" style="38"/>
    <col min="15248" max="15248" width="7.140625" style="38" customWidth="1"/>
    <col min="15249" max="15249" width="17.28515625" style="38" bestFit="1" customWidth="1"/>
    <col min="15250" max="15251" width="6.7109375" style="38" customWidth="1"/>
    <col min="15252" max="15252" width="8.5703125" style="38" bestFit="1" customWidth="1"/>
    <col min="15253" max="15253" width="5.7109375" style="38" customWidth="1"/>
    <col min="15254" max="15254" width="6.7109375" style="38" customWidth="1"/>
    <col min="15255" max="15256" width="5.7109375" style="38" customWidth="1"/>
    <col min="15257" max="15257" width="6.7109375" style="38" customWidth="1"/>
    <col min="15258" max="15259" width="5.7109375" style="38" customWidth="1"/>
    <col min="15260" max="15262" width="6.7109375" style="38" customWidth="1"/>
    <col min="15263" max="15267" width="5.7109375" style="38" customWidth="1"/>
    <col min="15268" max="15268" width="6.7109375" style="38" customWidth="1"/>
    <col min="15269" max="15269" width="1.7109375" style="38" customWidth="1"/>
    <col min="15270" max="15270" width="7.7109375" style="38" bestFit="1" customWidth="1"/>
    <col min="15271" max="15271" width="6.42578125" style="38" bestFit="1" customWidth="1"/>
    <col min="15272" max="15274" width="5.140625" style="38" bestFit="1" customWidth="1"/>
    <col min="15275" max="15275" width="5.7109375" style="38" customWidth="1"/>
    <col min="15276" max="15280" width="9.42578125" style="38" bestFit="1" customWidth="1"/>
    <col min="15281" max="15290" width="5.7109375" style="38" customWidth="1"/>
    <col min="15291" max="15503" width="8.85546875" style="38"/>
    <col min="15504" max="15504" width="7.140625" style="38" customWidth="1"/>
    <col min="15505" max="15505" width="17.28515625" style="38" bestFit="1" customWidth="1"/>
    <col min="15506" max="15507" width="6.7109375" style="38" customWidth="1"/>
    <col min="15508" max="15508" width="8.5703125" style="38" bestFit="1" customWidth="1"/>
    <col min="15509" max="15509" width="5.7109375" style="38" customWidth="1"/>
    <col min="15510" max="15510" width="6.7109375" style="38" customWidth="1"/>
    <col min="15511" max="15512" width="5.7109375" style="38" customWidth="1"/>
    <col min="15513" max="15513" width="6.7109375" style="38" customWidth="1"/>
    <col min="15514" max="15515" width="5.7109375" style="38" customWidth="1"/>
    <col min="15516" max="15518" width="6.7109375" style="38" customWidth="1"/>
    <col min="15519" max="15523" width="5.7109375" style="38" customWidth="1"/>
    <col min="15524" max="15524" width="6.7109375" style="38" customWidth="1"/>
    <col min="15525" max="15525" width="1.7109375" style="38" customWidth="1"/>
    <col min="15526" max="15526" width="7.7109375" style="38" bestFit="1" customWidth="1"/>
    <col min="15527" max="15527" width="6.42578125" style="38" bestFit="1" customWidth="1"/>
    <col min="15528" max="15530" width="5.140625" style="38" bestFit="1" customWidth="1"/>
    <col min="15531" max="15531" width="5.7109375" style="38" customWidth="1"/>
    <col min="15532" max="15536" width="9.42578125" style="38" bestFit="1" customWidth="1"/>
    <col min="15537" max="15546" width="5.7109375" style="38" customWidth="1"/>
    <col min="15547" max="15759" width="8.85546875" style="38"/>
    <col min="15760" max="15760" width="7.140625" style="38" customWidth="1"/>
    <col min="15761" max="15761" width="17.28515625" style="38" bestFit="1" customWidth="1"/>
    <col min="15762" max="15763" width="6.7109375" style="38" customWidth="1"/>
    <col min="15764" max="15764" width="8.5703125" style="38" bestFit="1" customWidth="1"/>
    <col min="15765" max="15765" width="5.7109375" style="38" customWidth="1"/>
    <col min="15766" max="15766" width="6.7109375" style="38" customWidth="1"/>
    <col min="15767" max="15768" width="5.7109375" style="38" customWidth="1"/>
    <col min="15769" max="15769" width="6.7109375" style="38" customWidth="1"/>
    <col min="15770" max="15771" width="5.7109375" style="38" customWidth="1"/>
    <col min="15772" max="15774" width="6.7109375" style="38" customWidth="1"/>
    <col min="15775" max="15779" width="5.7109375" style="38" customWidth="1"/>
    <col min="15780" max="15780" width="6.7109375" style="38" customWidth="1"/>
    <col min="15781" max="15781" width="1.7109375" style="38" customWidth="1"/>
    <col min="15782" max="15782" width="7.7109375" style="38" bestFit="1" customWidth="1"/>
    <col min="15783" max="15783" width="6.42578125" style="38" bestFit="1" customWidth="1"/>
    <col min="15784" max="15786" width="5.140625" style="38" bestFit="1" customWidth="1"/>
    <col min="15787" max="15787" width="5.7109375" style="38" customWidth="1"/>
    <col min="15788" max="15792" width="9.42578125" style="38" bestFit="1" customWidth="1"/>
    <col min="15793" max="15802" width="5.7109375" style="38" customWidth="1"/>
    <col min="15803" max="16015" width="8.85546875" style="38"/>
    <col min="16016" max="16016" width="7.140625" style="38" customWidth="1"/>
    <col min="16017" max="16017" width="17.28515625" style="38" bestFit="1" customWidth="1"/>
    <col min="16018" max="16019" width="6.7109375" style="38" customWidth="1"/>
    <col min="16020" max="16020" width="8.5703125" style="38" bestFit="1" customWidth="1"/>
    <col min="16021" max="16021" width="5.7109375" style="38" customWidth="1"/>
    <col min="16022" max="16022" width="6.7109375" style="38" customWidth="1"/>
    <col min="16023" max="16024" width="5.7109375" style="38" customWidth="1"/>
    <col min="16025" max="16025" width="6.7109375" style="38" customWidth="1"/>
    <col min="16026" max="16027" width="5.7109375" style="38" customWidth="1"/>
    <col min="16028" max="16030" width="6.7109375" style="38" customWidth="1"/>
    <col min="16031" max="16035" width="5.7109375" style="38" customWidth="1"/>
    <col min="16036" max="16036" width="6.7109375" style="38" customWidth="1"/>
    <col min="16037" max="16037" width="1.7109375" style="38" customWidth="1"/>
    <col min="16038" max="16038" width="7.7109375" style="38" bestFit="1" customWidth="1"/>
    <col min="16039" max="16039" width="6.42578125" style="38" bestFit="1" customWidth="1"/>
    <col min="16040" max="16042" width="5.140625" style="38" bestFit="1" customWidth="1"/>
    <col min="16043" max="16043" width="5.7109375" style="38" customWidth="1"/>
    <col min="16044" max="16048" width="9.42578125" style="38" bestFit="1" customWidth="1"/>
    <col min="16049" max="16058" width="5.7109375" style="38" customWidth="1"/>
    <col min="16059" max="16384" width="8.85546875" style="38"/>
  </cols>
  <sheetData>
    <row r="1" spans="1:2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21" ht="24" thickBot="1">
      <c r="A2" s="37"/>
      <c r="B2" s="107" t="s">
        <v>319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39"/>
    </row>
    <row r="3" spans="1:21">
      <c r="A3" s="37"/>
      <c r="B3" s="37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40"/>
      <c r="N3" s="37"/>
      <c r="O3" s="37"/>
      <c r="P3" s="37"/>
    </row>
    <row r="4" spans="1:21" ht="13.5" thickBot="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spans="1:21" ht="25.5">
      <c r="A5" s="42"/>
      <c r="B5" s="43" t="s">
        <v>320</v>
      </c>
      <c r="C5" s="44">
        <v>125</v>
      </c>
      <c r="D5" s="45" t="s">
        <v>321</v>
      </c>
      <c r="E5" s="46"/>
      <c r="F5" s="47" t="s">
        <v>322</v>
      </c>
      <c r="G5" s="48">
        <v>108</v>
      </c>
      <c r="H5" s="45" t="s">
        <v>321</v>
      </c>
      <c r="I5" s="49"/>
      <c r="J5" s="78" t="s">
        <v>322</v>
      </c>
      <c r="K5" s="48">
        <v>17</v>
      </c>
      <c r="L5" s="45" t="s">
        <v>321</v>
      </c>
      <c r="M5" s="56"/>
      <c r="N5" s="99"/>
      <c r="O5" s="99"/>
      <c r="P5" s="42"/>
    </row>
    <row r="6" spans="1:21" s="61" customFormat="1" ht="18" customHeight="1">
      <c r="A6" s="50"/>
      <c r="B6" s="51" t="s">
        <v>323</v>
      </c>
      <c r="C6" s="52">
        <v>108</v>
      </c>
      <c r="D6" s="53">
        <f>C6/C5</f>
        <v>0.86399999999999999</v>
      </c>
      <c r="E6" s="54"/>
      <c r="F6" s="51" t="s">
        <v>324</v>
      </c>
      <c r="G6" s="52">
        <v>16</v>
      </c>
      <c r="H6" s="55">
        <f>G6/G5</f>
        <v>0.14814814814814814</v>
      </c>
      <c r="I6" s="56"/>
      <c r="J6" s="51" t="s">
        <v>324</v>
      </c>
      <c r="K6" s="52">
        <v>4</v>
      </c>
      <c r="L6" s="55">
        <f>K6/K5</f>
        <v>0.23529411764705882</v>
      </c>
      <c r="M6" s="56"/>
      <c r="N6" s="57"/>
      <c r="O6" s="57"/>
      <c r="P6" s="58"/>
      <c r="Q6" s="56"/>
      <c r="R6" s="71"/>
      <c r="T6" s="56"/>
      <c r="U6" s="71"/>
    </row>
    <row r="7" spans="1:21" s="61" customFormat="1" ht="18" customHeight="1" thickBot="1">
      <c r="A7" s="50"/>
      <c r="B7" s="62" t="s">
        <v>325</v>
      </c>
      <c r="C7" s="63">
        <v>17</v>
      </c>
      <c r="D7" s="64">
        <f>C7/C5</f>
        <v>0.13600000000000001</v>
      </c>
      <c r="E7" s="54"/>
      <c r="F7" s="51" t="s">
        <v>326</v>
      </c>
      <c r="G7" s="52">
        <v>13</v>
      </c>
      <c r="H7" s="55">
        <f>G7/G5</f>
        <v>0.12037037037037036</v>
      </c>
      <c r="I7" s="56"/>
      <c r="J7" s="51" t="s">
        <v>326</v>
      </c>
      <c r="K7" s="52">
        <v>0</v>
      </c>
      <c r="L7" s="55">
        <f>K7/K5</f>
        <v>0</v>
      </c>
      <c r="M7" s="56"/>
      <c r="N7" s="57"/>
      <c r="O7" s="57"/>
      <c r="P7" s="58"/>
      <c r="Q7" s="56"/>
      <c r="R7" s="71"/>
      <c r="T7" s="56"/>
      <c r="U7" s="71"/>
    </row>
    <row r="8" spans="1:21" s="61" customFormat="1" ht="18" customHeight="1" thickBot="1">
      <c r="A8" s="50"/>
      <c r="B8" s="65"/>
      <c r="C8" s="66"/>
      <c r="D8" s="66"/>
      <c r="E8" s="54"/>
      <c r="F8" s="51" t="s">
        <v>327</v>
      </c>
      <c r="G8" s="52">
        <v>21</v>
      </c>
      <c r="H8" s="55">
        <f>G8/G5</f>
        <v>0.19444444444444445</v>
      </c>
      <c r="I8" s="56"/>
      <c r="J8" s="51" t="s">
        <v>327</v>
      </c>
      <c r="K8" s="52">
        <v>2</v>
      </c>
      <c r="L8" s="55">
        <f>K8/K5</f>
        <v>0.11764705882352941</v>
      </c>
      <c r="M8" s="56"/>
      <c r="N8" s="68"/>
      <c r="O8" s="68"/>
      <c r="P8" s="58"/>
      <c r="Q8" s="56"/>
      <c r="R8" s="71"/>
      <c r="T8" s="56"/>
      <c r="U8" s="71"/>
    </row>
    <row r="9" spans="1:21" s="61" customFormat="1" ht="15.75">
      <c r="A9" s="50"/>
      <c r="B9" s="43" t="s">
        <v>328</v>
      </c>
      <c r="C9" s="69">
        <f>C5</f>
        <v>125</v>
      </c>
      <c r="D9" s="70" t="s">
        <v>321</v>
      </c>
      <c r="E9" s="54"/>
      <c r="F9" s="51" t="s">
        <v>329</v>
      </c>
      <c r="G9" s="52">
        <v>28</v>
      </c>
      <c r="H9" s="55">
        <f>G9/G5</f>
        <v>0.25925925925925924</v>
      </c>
      <c r="I9" s="56"/>
      <c r="J9" s="51" t="s">
        <v>329</v>
      </c>
      <c r="K9" s="52">
        <v>7</v>
      </c>
      <c r="L9" s="55">
        <f>K9/K5</f>
        <v>0.41176470588235292</v>
      </c>
      <c r="M9" s="56"/>
      <c r="N9" s="68"/>
      <c r="O9" s="68"/>
      <c r="P9" s="58"/>
      <c r="Q9" s="56"/>
      <c r="R9" s="71"/>
      <c r="T9" s="56"/>
      <c r="U9" s="71"/>
    </row>
    <row r="10" spans="1:21" s="61" customFormat="1" ht="18" customHeight="1">
      <c r="A10" s="50"/>
      <c r="B10" s="51" t="s">
        <v>330</v>
      </c>
      <c r="C10" s="52">
        <v>108</v>
      </c>
      <c r="D10" s="53">
        <f>C10/C9</f>
        <v>0.86399999999999999</v>
      </c>
      <c r="E10" s="54"/>
      <c r="F10" s="51" t="s">
        <v>331</v>
      </c>
      <c r="G10" s="52">
        <v>17</v>
      </c>
      <c r="H10" s="55">
        <f>G10/G5</f>
        <v>0.15740740740740741</v>
      </c>
      <c r="I10" s="56"/>
      <c r="J10" s="51" t="s">
        <v>331</v>
      </c>
      <c r="K10" s="52">
        <v>1</v>
      </c>
      <c r="L10" s="55">
        <f>K10/K5</f>
        <v>5.8823529411764705E-2</v>
      </c>
      <c r="M10" s="56"/>
      <c r="N10" s="73"/>
      <c r="O10" s="58"/>
      <c r="P10" s="58"/>
      <c r="Q10" s="56"/>
      <c r="R10" s="71"/>
      <c r="T10" s="56"/>
      <c r="U10" s="71"/>
    </row>
    <row r="11" spans="1:21" s="61" customFormat="1" ht="18" customHeight="1">
      <c r="A11" s="50"/>
      <c r="B11" s="51" t="s">
        <v>332</v>
      </c>
      <c r="C11" s="52">
        <v>17</v>
      </c>
      <c r="D11" s="53">
        <f>C11/C9</f>
        <v>0.13600000000000001</v>
      </c>
      <c r="E11" s="54"/>
      <c r="F11" s="51" t="s">
        <v>333</v>
      </c>
      <c r="G11" s="52">
        <v>9</v>
      </c>
      <c r="H11" s="55">
        <f>G11/G5</f>
        <v>8.3333333333333329E-2</v>
      </c>
      <c r="I11" s="56"/>
      <c r="J11" s="51" t="s">
        <v>333</v>
      </c>
      <c r="K11" s="52">
        <v>1</v>
      </c>
      <c r="L11" s="55">
        <f>K11/K5</f>
        <v>5.8823529411764705E-2</v>
      </c>
      <c r="M11" s="56"/>
      <c r="N11" s="99"/>
      <c r="O11" s="99"/>
      <c r="P11" s="58"/>
      <c r="Q11" s="56"/>
      <c r="R11" s="71"/>
      <c r="T11" s="56"/>
      <c r="U11" s="71"/>
    </row>
    <row r="12" spans="1:21" s="61" customFormat="1" ht="18" customHeight="1" thickBot="1">
      <c r="A12" s="50"/>
      <c r="B12" s="62" t="s">
        <v>334</v>
      </c>
      <c r="C12" s="63">
        <v>10</v>
      </c>
      <c r="D12" s="64">
        <f>C12/C9</f>
        <v>0.08</v>
      </c>
      <c r="E12" s="54"/>
      <c r="F12" s="62" t="s">
        <v>335</v>
      </c>
      <c r="G12" s="74">
        <v>4</v>
      </c>
      <c r="H12" s="55">
        <f>G12/G5</f>
        <v>3.7037037037037035E-2</v>
      </c>
      <c r="I12" s="56"/>
      <c r="J12" s="62" t="s">
        <v>335</v>
      </c>
      <c r="K12" s="74">
        <v>2</v>
      </c>
      <c r="L12" s="55">
        <f>K12/K5</f>
        <v>0.11764705882352941</v>
      </c>
      <c r="M12" s="56"/>
      <c r="N12" s="57"/>
      <c r="O12" s="57"/>
      <c r="P12" s="58"/>
      <c r="Q12" s="56"/>
      <c r="R12" s="71"/>
      <c r="T12" s="56"/>
      <c r="U12" s="71"/>
    </row>
    <row r="13" spans="1:21" s="61" customFormat="1" ht="18" customHeight="1" thickBot="1">
      <c r="A13" s="50"/>
      <c r="B13" s="65"/>
      <c r="C13" s="66"/>
      <c r="D13" s="66"/>
      <c r="E13" s="54"/>
      <c r="G13" s="75"/>
      <c r="H13" s="76"/>
      <c r="I13" s="56"/>
      <c r="J13" s="82"/>
      <c r="K13" s="82"/>
      <c r="L13" s="82"/>
      <c r="M13" s="82"/>
      <c r="N13" s="57"/>
      <c r="O13" s="57"/>
      <c r="P13" s="58"/>
      <c r="Q13" s="56"/>
      <c r="R13" s="71"/>
      <c r="T13" s="56"/>
      <c r="U13" s="71"/>
    </row>
    <row r="14" spans="1:21" s="61" customFormat="1" ht="18" customHeight="1">
      <c r="A14" s="50"/>
      <c r="B14" s="77" t="s">
        <v>336</v>
      </c>
      <c r="C14" s="69">
        <v>125</v>
      </c>
      <c r="D14" s="70" t="s">
        <v>321</v>
      </c>
      <c r="E14" s="54"/>
      <c r="J14" s="56"/>
      <c r="K14" s="67"/>
      <c r="L14" s="67"/>
      <c r="M14" s="67"/>
      <c r="N14" s="68"/>
      <c r="O14" s="68"/>
      <c r="P14" s="58"/>
      <c r="Q14" s="56"/>
      <c r="R14" s="71"/>
      <c r="T14" s="56"/>
      <c r="U14" s="71"/>
    </row>
    <row r="15" spans="1:21" s="61" customFormat="1" ht="18" customHeight="1">
      <c r="A15" s="50"/>
      <c r="B15" s="51" t="s">
        <v>337</v>
      </c>
      <c r="C15" s="52">
        <v>33</v>
      </c>
      <c r="D15" s="53">
        <f>C15/C14</f>
        <v>0.26400000000000001</v>
      </c>
      <c r="E15" s="54"/>
      <c r="J15" s="56"/>
      <c r="K15" s="67"/>
      <c r="L15" s="67"/>
      <c r="M15" s="67"/>
      <c r="N15" s="68"/>
      <c r="O15" s="68"/>
      <c r="P15" s="58"/>
      <c r="Q15" s="56"/>
      <c r="R15" s="71"/>
      <c r="T15" s="56"/>
      <c r="U15" s="71"/>
    </row>
    <row r="16" spans="1:21" s="61" customFormat="1" ht="18" customHeight="1">
      <c r="A16" s="50"/>
      <c r="B16" s="51" t="s">
        <v>338</v>
      </c>
      <c r="C16" s="52">
        <v>4</v>
      </c>
      <c r="D16" s="53">
        <f>C16/C14</f>
        <v>3.2000000000000001E-2</v>
      </c>
      <c r="E16" s="54"/>
      <c r="J16" s="71"/>
      <c r="K16" s="71"/>
      <c r="L16" s="72"/>
      <c r="M16" s="56"/>
      <c r="N16" s="73"/>
      <c r="O16" s="58"/>
      <c r="P16" s="58"/>
      <c r="Q16" s="59" t="s">
        <v>339</v>
      </c>
      <c r="R16" s="60">
        <v>7.8876209253740903</v>
      </c>
      <c r="T16" s="59" t="s">
        <v>339</v>
      </c>
      <c r="U16" s="60">
        <v>7.728566618702656</v>
      </c>
    </row>
    <row r="17" spans="1:21" s="61" customFormat="1" ht="18" customHeight="1">
      <c r="A17" s="50"/>
      <c r="B17" s="51" t="s">
        <v>18</v>
      </c>
      <c r="C17" s="52">
        <v>52</v>
      </c>
      <c r="D17" s="53">
        <f>C17/C14</f>
        <v>0.41599999999999998</v>
      </c>
      <c r="E17" s="54"/>
      <c r="J17" s="71"/>
      <c r="K17" s="71"/>
      <c r="L17" s="72"/>
      <c r="M17" s="56"/>
      <c r="N17" s="73"/>
      <c r="O17" s="58"/>
      <c r="P17" s="58"/>
      <c r="Q17" s="59"/>
      <c r="R17" s="60"/>
      <c r="T17" s="59"/>
      <c r="U17" s="60"/>
    </row>
    <row r="18" spans="1:21" s="61" customFormat="1" ht="18" customHeight="1" thickBot="1">
      <c r="A18" s="50"/>
      <c r="B18" s="62" t="s">
        <v>12</v>
      </c>
      <c r="C18" s="63">
        <v>69</v>
      </c>
      <c r="D18" s="64">
        <f>C18/C14</f>
        <v>0.55200000000000005</v>
      </c>
      <c r="E18" s="54"/>
      <c r="J18" s="71"/>
      <c r="K18" s="71"/>
      <c r="L18" s="72"/>
      <c r="M18" s="56"/>
      <c r="N18" s="73"/>
      <c r="O18" s="58"/>
      <c r="P18" s="58"/>
      <c r="Q18" s="79" t="s">
        <v>340</v>
      </c>
      <c r="R18" s="60">
        <v>10.695464332253241</v>
      </c>
      <c r="T18" s="79" t="s">
        <v>340</v>
      </c>
      <c r="U18" s="60">
        <v>11.113311982825511</v>
      </c>
    </row>
    <row r="19" spans="1:21" s="61" customFormat="1" ht="18" customHeight="1">
      <c r="A19" s="50"/>
      <c r="B19" s="56"/>
      <c r="C19" s="80"/>
      <c r="D19" s="80"/>
      <c r="E19" s="54"/>
      <c r="J19" s="71"/>
      <c r="K19" s="71"/>
      <c r="L19" s="72"/>
      <c r="M19" s="56"/>
      <c r="N19" s="73"/>
      <c r="O19" s="58"/>
      <c r="P19" s="58"/>
      <c r="Q19" s="81" t="s">
        <v>341</v>
      </c>
      <c r="R19" s="60">
        <v>9.6411969681505028</v>
      </c>
      <c r="T19" s="81" t="s">
        <v>341</v>
      </c>
      <c r="U19" s="60">
        <v>9.7143773573272192</v>
      </c>
    </row>
    <row r="20" spans="1:21" s="61" customFormat="1" ht="18" customHeight="1">
      <c r="A20" s="50"/>
      <c r="B20" s="56"/>
      <c r="C20" s="80"/>
      <c r="D20" s="82"/>
      <c r="E20" s="54"/>
      <c r="J20" s="71"/>
      <c r="K20" s="71"/>
      <c r="L20" s="72"/>
      <c r="M20" s="56"/>
      <c r="N20" s="73"/>
      <c r="O20" s="58"/>
      <c r="P20" s="58"/>
      <c r="Q20" s="81" t="s">
        <v>342</v>
      </c>
      <c r="R20" s="60">
        <v>9.3822652520575289</v>
      </c>
      <c r="T20" s="81" t="s">
        <v>342</v>
      </c>
      <c r="U20" s="60">
        <v>9.5200287779724579</v>
      </c>
    </row>
    <row r="21" spans="1:21" s="61" customFormat="1" ht="18" customHeight="1">
      <c r="A21" s="50"/>
      <c r="B21" s="56"/>
      <c r="C21" s="80"/>
      <c r="D21" s="82"/>
      <c r="E21" s="54"/>
      <c r="J21" s="71"/>
      <c r="K21" s="71"/>
      <c r="L21" s="72"/>
      <c r="M21" s="56"/>
      <c r="N21" s="73"/>
      <c r="O21" s="58"/>
      <c r="P21" s="58"/>
      <c r="Q21" s="81"/>
      <c r="R21" s="60"/>
      <c r="T21" s="81"/>
      <c r="U21" s="60"/>
    </row>
    <row r="22" spans="1:21" s="61" customFormat="1" ht="18" customHeight="1">
      <c r="A22" s="50"/>
      <c r="B22" s="56"/>
      <c r="C22" s="80"/>
      <c r="D22" s="82"/>
      <c r="E22" s="82"/>
      <c r="J22" s="82"/>
      <c r="K22" s="71"/>
      <c r="L22" s="72"/>
      <c r="M22" s="56"/>
      <c r="N22" s="73"/>
      <c r="O22" s="58"/>
      <c r="P22" s="58"/>
      <c r="Q22" s="81"/>
      <c r="R22" s="60"/>
      <c r="T22" s="81"/>
      <c r="U22" s="60"/>
    </row>
    <row r="23" spans="1:21" s="61" customFormat="1" ht="18" customHeight="1">
      <c r="A23" s="50"/>
      <c r="B23" s="56"/>
      <c r="C23" s="80"/>
      <c r="D23" s="82"/>
      <c r="E23" s="54"/>
      <c r="G23" s="75"/>
      <c r="H23" s="76"/>
      <c r="I23" s="56"/>
      <c r="J23" s="71"/>
      <c r="K23" s="71"/>
      <c r="L23" s="72"/>
      <c r="M23" s="58"/>
      <c r="N23" s="83"/>
      <c r="O23" s="58"/>
      <c r="P23" s="58"/>
      <c r="Q23" s="84" t="s">
        <v>343</v>
      </c>
      <c r="R23" s="71">
        <v>8.7131543507592895</v>
      </c>
      <c r="T23" s="84" t="s">
        <v>343</v>
      </c>
      <c r="U23" s="71">
        <v>8.7324771467933573</v>
      </c>
    </row>
    <row r="24" spans="1:21" ht="3" customHeight="1">
      <c r="A24" s="85"/>
      <c r="B24" s="85"/>
      <c r="C24" s="86"/>
      <c r="D24" s="86"/>
      <c r="E24" s="86"/>
      <c r="F24" s="86"/>
      <c r="G24" s="87"/>
      <c r="H24" s="86"/>
      <c r="I24" s="86"/>
      <c r="J24" s="86"/>
      <c r="K24" s="86"/>
      <c r="L24" s="87"/>
      <c r="M24" s="86"/>
      <c r="N24" s="86"/>
      <c r="O24" s="86"/>
      <c r="P24" s="86"/>
      <c r="T24" s="61"/>
      <c r="U24" s="88"/>
    </row>
    <row r="25" spans="1:21" ht="3" customHeight="1" thickBot="1">
      <c r="A25" s="89"/>
      <c r="B25" s="89"/>
      <c r="T25" s="56"/>
      <c r="U25" s="88"/>
    </row>
    <row r="26" spans="1:21" s="61" customFormat="1" ht="13.5" thickTop="1">
      <c r="A26" s="90"/>
      <c r="B26" s="38"/>
      <c r="C26" s="38"/>
      <c r="D26" s="38"/>
      <c r="E26" s="91"/>
      <c r="F26" s="91"/>
      <c r="G26" s="91"/>
      <c r="H26" s="91"/>
      <c r="I26" s="91"/>
      <c r="J26" s="91"/>
      <c r="K26" s="91"/>
      <c r="L26" s="91"/>
      <c r="M26" s="38"/>
      <c r="N26" s="91"/>
      <c r="O26" s="92"/>
      <c r="P26" s="38"/>
      <c r="T26" s="56"/>
      <c r="U26" s="88"/>
    </row>
    <row r="27" spans="1:21" s="61" customFormat="1">
      <c r="A27" s="90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93"/>
      <c r="P27" s="38"/>
      <c r="T27" s="56"/>
      <c r="U27" s="88"/>
    </row>
    <row r="28" spans="1:21" s="61" customFormat="1">
      <c r="A28" s="90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93"/>
      <c r="P28" s="38"/>
      <c r="U28" s="88"/>
    </row>
    <row r="29" spans="1:21" s="61" customFormat="1">
      <c r="A29" s="90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93"/>
      <c r="P29" s="38"/>
      <c r="U29" s="88"/>
    </row>
    <row r="30" spans="1:21" s="61" customFormat="1">
      <c r="A30" s="90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93"/>
      <c r="P30" s="38"/>
      <c r="U30" s="88"/>
    </row>
    <row r="31" spans="1:21" s="61" customFormat="1">
      <c r="A31" s="90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93"/>
      <c r="P31" s="38"/>
      <c r="T31" s="38"/>
      <c r="U31" s="94"/>
    </row>
    <row r="32" spans="1:21" s="61" customFormat="1">
      <c r="A32" s="90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93"/>
      <c r="P32" s="38"/>
      <c r="T32" s="56"/>
      <c r="U32" s="88"/>
    </row>
    <row r="33" spans="1:21" s="61" customFormat="1">
      <c r="A33" s="90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93"/>
      <c r="P33" s="38"/>
      <c r="U33" s="88"/>
    </row>
    <row r="34" spans="1:21" s="61" customFormat="1">
      <c r="A34" s="90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93"/>
      <c r="P34" s="38"/>
      <c r="U34" s="88"/>
    </row>
    <row r="35" spans="1:21" s="61" customFormat="1">
      <c r="A35" s="90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93"/>
      <c r="P35" s="38"/>
      <c r="T35" s="56"/>
      <c r="U35" s="88"/>
    </row>
    <row r="36" spans="1:21" s="61" customFormat="1">
      <c r="A36" s="90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93"/>
      <c r="P36" s="38"/>
      <c r="U36" s="88"/>
    </row>
    <row r="37" spans="1:21" s="61" customFormat="1">
      <c r="A37" s="90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93"/>
      <c r="P37" s="38"/>
      <c r="T37" s="56"/>
      <c r="U37" s="88"/>
    </row>
    <row r="38" spans="1:21" s="61" customFormat="1">
      <c r="A38" s="90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93"/>
      <c r="P38" s="38"/>
      <c r="T38" s="95"/>
      <c r="U38" s="88"/>
    </row>
    <row r="39" spans="1:21" s="61" customFormat="1">
      <c r="A39" s="90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93"/>
      <c r="P39" s="38"/>
      <c r="T39" s="95"/>
      <c r="U39" s="94"/>
    </row>
    <row r="40" spans="1:21" s="61" customFormat="1">
      <c r="A40" s="90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93"/>
      <c r="P40" s="38"/>
    </row>
    <row r="41" spans="1:21" s="61" customFormat="1">
      <c r="A41" s="90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93"/>
      <c r="P41" s="38"/>
    </row>
    <row r="42" spans="1:21">
      <c r="A42" s="90"/>
      <c r="O42" s="93"/>
    </row>
    <row r="43" spans="1:21">
      <c r="A43" s="90"/>
      <c r="O43" s="93"/>
    </row>
    <row r="44" spans="1:21">
      <c r="A44" s="90"/>
      <c r="O44" s="93"/>
    </row>
    <row r="45" spans="1:21">
      <c r="A45" s="90"/>
      <c r="O45" s="93"/>
    </row>
    <row r="46" spans="1:21">
      <c r="A46" s="90"/>
      <c r="O46" s="93"/>
    </row>
    <row r="47" spans="1:21">
      <c r="A47" s="90"/>
      <c r="O47" s="93"/>
    </row>
    <row r="48" spans="1:21">
      <c r="A48" s="90"/>
      <c r="O48" s="93"/>
    </row>
    <row r="49" spans="1:15">
      <c r="A49" s="90"/>
      <c r="O49" s="93"/>
    </row>
    <row r="50" spans="1:15">
      <c r="A50" s="90"/>
      <c r="O50" s="93"/>
    </row>
    <row r="51" spans="1:15">
      <c r="A51" s="90"/>
      <c r="O51" s="93"/>
    </row>
    <row r="52" spans="1:15">
      <c r="A52" s="90"/>
      <c r="O52" s="93"/>
    </row>
    <row r="53" spans="1:15">
      <c r="A53" s="90"/>
      <c r="O53" s="93"/>
    </row>
    <row r="54" spans="1:15">
      <c r="A54" s="90"/>
      <c r="O54" s="93"/>
    </row>
    <row r="55" spans="1:15">
      <c r="A55" s="90"/>
      <c r="O55" s="93"/>
    </row>
    <row r="56" spans="1:15">
      <c r="A56" s="90"/>
      <c r="O56" s="93"/>
    </row>
    <row r="57" spans="1:15">
      <c r="A57" s="90"/>
      <c r="O57" s="93"/>
    </row>
    <row r="58" spans="1:15">
      <c r="A58" s="90"/>
      <c r="O58" s="93"/>
    </row>
    <row r="59" spans="1:15">
      <c r="A59" s="90"/>
      <c r="O59" s="93"/>
    </row>
    <row r="60" spans="1:15">
      <c r="A60" s="90"/>
      <c r="O60" s="93"/>
    </row>
    <row r="61" spans="1:15">
      <c r="A61" s="90"/>
      <c r="O61" s="93"/>
    </row>
    <row r="62" spans="1:15">
      <c r="A62" s="90"/>
      <c r="O62" s="93"/>
    </row>
    <row r="63" spans="1:15">
      <c r="A63" s="90"/>
      <c r="O63" s="93"/>
    </row>
    <row r="64" spans="1:15">
      <c r="A64" s="90"/>
      <c r="O64" s="93"/>
    </row>
    <row r="65" spans="1:15">
      <c r="A65" s="90"/>
      <c r="O65" s="93"/>
    </row>
    <row r="66" spans="1:15">
      <c r="A66" s="90"/>
      <c r="O66" s="93"/>
    </row>
    <row r="67" spans="1:15">
      <c r="A67" s="90"/>
      <c r="O67" s="93"/>
    </row>
    <row r="68" spans="1:15" ht="13.5" thickBot="1">
      <c r="A68" s="96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N68" s="97"/>
      <c r="O68" s="98"/>
    </row>
    <row r="69" spans="1:15" ht="10.5" customHeight="1" thickTop="1"/>
    <row r="70" spans="1:15" ht="10.5" customHeight="1"/>
  </sheetData>
  <mergeCells count="2">
    <mergeCell ref="B2:O2"/>
    <mergeCell ref="C3:L3"/>
  </mergeCells>
  <printOptions horizontalCentered="1"/>
  <pageMargins left="0.11811023622047245" right="0.15748031496062992" top="0.35433070866141736" bottom="0.31496062992125984" header="0.15748031496062992" footer="0.1181102362204724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A056-957C-41C1-A217-597B8C50229F}">
  <sheetPr>
    <pageSetUpPr fitToPage="1"/>
  </sheetPr>
  <dimension ref="A1:L78"/>
  <sheetViews>
    <sheetView topLeftCell="A73" workbookViewId="0">
      <selection activeCell="F5" sqref="F5"/>
    </sheetView>
  </sheetViews>
  <sheetFormatPr defaultRowHeight="15"/>
  <cols>
    <col min="1" max="1" width="4.42578125" bestFit="1" customWidth="1"/>
    <col min="2" max="2" width="45.28515625" bestFit="1" customWidth="1"/>
    <col min="3" max="3" width="16.140625" bestFit="1" customWidth="1"/>
    <col min="4" max="4" width="12.7109375" hidden="1" customWidth="1"/>
    <col min="5" max="5" width="11.85546875" customWidth="1"/>
    <col min="6" max="6" width="13.85546875" customWidth="1"/>
    <col min="7" max="7" width="18.28515625" customWidth="1"/>
    <col min="8" max="8" width="13.140625" customWidth="1"/>
    <col min="9" max="9" width="23.42578125" customWidth="1"/>
    <col min="10" max="10" width="16.140625" customWidth="1"/>
    <col min="11" max="11" width="23.42578125" customWidth="1"/>
    <col min="12" max="12" width="9.140625" customWidth="1"/>
  </cols>
  <sheetData>
    <row r="1" spans="1:12" ht="15.75" thickBot="1">
      <c r="L1" s="11">
        <f ca="1">TODAY()</f>
        <v>46081</v>
      </c>
    </row>
    <row r="2" spans="1:12" ht="102.75" thickBot="1">
      <c r="A2" s="1" t="s">
        <v>184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9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303</v>
      </c>
    </row>
    <row r="3" spans="1:12" ht="24" customHeight="1">
      <c r="A3" s="3">
        <v>1</v>
      </c>
      <c r="B3" s="12" t="s">
        <v>48</v>
      </c>
      <c r="C3" s="12" t="s">
        <v>196</v>
      </c>
      <c r="D3" s="13">
        <v>34886</v>
      </c>
      <c r="E3" s="35" t="s">
        <v>12</v>
      </c>
      <c r="F3" s="12" t="s">
        <v>12</v>
      </c>
      <c r="G3" s="4"/>
      <c r="H3" s="27" t="s">
        <v>18</v>
      </c>
      <c r="I3" s="4"/>
      <c r="J3" s="35" t="s">
        <v>12</v>
      </c>
      <c r="K3" s="12" t="s">
        <v>19</v>
      </c>
      <c r="L3" s="14">
        <f ca="1">(L$1-D3)/365</f>
        <v>30.671232876712327</v>
      </c>
    </row>
    <row r="4" spans="1:12" ht="24" customHeight="1">
      <c r="A4" s="5">
        <v>2</v>
      </c>
      <c r="B4" s="18" t="s">
        <v>124</v>
      </c>
      <c r="C4" s="15" t="s">
        <v>125</v>
      </c>
      <c r="D4" s="16">
        <v>31994</v>
      </c>
      <c r="E4" s="30" t="s">
        <v>12</v>
      </c>
      <c r="F4" s="15" t="s">
        <v>12</v>
      </c>
      <c r="G4" s="6"/>
      <c r="H4" s="30" t="s">
        <v>12</v>
      </c>
      <c r="I4" s="15" t="s">
        <v>44</v>
      </c>
      <c r="J4" s="6"/>
      <c r="K4" s="6"/>
      <c r="L4" s="17">
        <f ca="1">(L$1-D4)/365</f>
        <v>38.594520547945208</v>
      </c>
    </row>
    <row r="5" spans="1:12" ht="24" customHeight="1">
      <c r="A5" s="5">
        <v>3</v>
      </c>
      <c r="B5" s="15" t="s">
        <v>122</v>
      </c>
      <c r="C5" s="15" t="s">
        <v>123</v>
      </c>
      <c r="D5" s="16">
        <v>37944</v>
      </c>
      <c r="E5" s="30" t="s">
        <v>12</v>
      </c>
      <c r="F5" s="15" t="s">
        <v>12</v>
      </c>
      <c r="G5" s="6"/>
      <c r="H5" s="30" t="s">
        <v>12</v>
      </c>
      <c r="I5" s="15" t="s">
        <v>119</v>
      </c>
      <c r="J5" s="6"/>
      <c r="K5" s="6"/>
      <c r="L5" s="17">
        <f ca="1">(L$1-D5)/365</f>
        <v>22.293150684931508</v>
      </c>
    </row>
    <row r="6" spans="1:12" ht="24" customHeight="1">
      <c r="A6" s="5">
        <v>4</v>
      </c>
      <c r="B6" s="15" t="s">
        <v>270</v>
      </c>
      <c r="C6" s="15" t="s">
        <v>272</v>
      </c>
      <c r="D6" s="16">
        <v>38789</v>
      </c>
      <c r="E6" s="30" t="s">
        <v>12</v>
      </c>
      <c r="F6" s="15" t="s">
        <v>18</v>
      </c>
      <c r="G6" s="6" t="s">
        <v>12</v>
      </c>
      <c r="H6" s="28" t="s">
        <v>18</v>
      </c>
      <c r="I6" s="15"/>
      <c r="J6" s="34" t="s">
        <v>12</v>
      </c>
      <c r="K6" s="15" t="s">
        <v>30</v>
      </c>
      <c r="L6" s="17">
        <f ca="1">(L$1-D6)/365</f>
        <v>19.978082191780821</v>
      </c>
    </row>
    <row r="7" spans="1:12" ht="24" customHeight="1">
      <c r="A7" s="5">
        <v>5</v>
      </c>
      <c r="B7" s="15" t="s">
        <v>188</v>
      </c>
      <c r="C7" s="15" t="s">
        <v>207</v>
      </c>
      <c r="D7" s="16">
        <v>39466</v>
      </c>
      <c r="E7" s="30" t="s">
        <v>12</v>
      </c>
      <c r="F7" s="15" t="s">
        <v>12</v>
      </c>
      <c r="G7" s="6"/>
      <c r="H7" s="28" t="s">
        <v>18</v>
      </c>
      <c r="I7" s="6"/>
      <c r="J7" s="30" t="s">
        <v>12</v>
      </c>
      <c r="K7" s="15" t="s">
        <v>34</v>
      </c>
      <c r="L7" s="17">
        <f ca="1">(L$1-D7)/365</f>
        <v>18.123287671232877</v>
      </c>
    </row>
    <row r="8" spans="1:12" ht="24" customHeight="1">
      <c r="A8" s="5">
        <v>6</v>
      </c>
      <c r="B8" s="18" t="s">
        <v>228</v>
      </c>
      <c r="C8" s="15" t="s">
        <v>237</v>
      </c>
      <c r="D8" s="16">
        <v>35645</v>
      </c>
      <c r="E8" s="30" t="s">
        <v>12</v>
      </c>
      <c r="F8" s="15" t="s">
        <v>12</v>
      </c>
      <c r="G8" s="6"/>
      <c r="H8" s="30" t="s">
        <v>12</v>
      </c>
      <c r="I8" s="15" t="s">
        <v>229</v>
      </c>
      <c r="J8" s="6"/>
      <c r="K8" s="19" t="s">
        <v>230</v>
      </c>
      <c r="L8" s="17">
        <f ca="1">(L$1-D8)/365</f>
        <v>28.591780821917808</v>
      </c>
    </row>
    <row r="9" spans="1:12" ht="24" customHeight="1">
      <c r="A9" s="5">
        <v>7</v>
      </c>
      <c r="B9" s="18" t="s">
        <v>180</v>
      </c>
      <c r="C9" s="15" t="s">
        <v>195</v>
      </c>
      <c r="D9" s="16">
        <v>27689</v>
      </c>
      <c r="E9" s="30" t="s">
        <v>12</v>
      </c>
      <c r="F9" s="15" t="s">
        <v>12</v>
      </c>
      <c r="G9" s="6"/>
      <c r="H9" s="30" t="s">
        <v>12</v>
      </c>
      <c r="I9" s="15" t="s">
        <v>44</v>
      </c>
      <c r="J9" s="6"/>
      <c r="K9" s="15" t="s">
        <v>16</v>
      </c>
      <c r="L9" s="17">
        <f ca="1">(L$1-D9)/365</f>
        <v>50.389041095890413</v>
      </c>
    </row>
    <row r="10" spans="1:12" ht="24" customHeight="1">
      <c r="A10" s="5">
        <v>8</v>
      </c>
      <c r="B10" s="15" t="s">
        <v>162</v>
      </c>
      <c r="C10" s="15" t="s">
        <v>163</v>
      </c>
      <c r="D10" s="16">
        <v>38098</v>
      </c>
      <c r="E10" s="30" t="s">
        <v>12</v>
      </c>
      <c r="F10" s="15" t="s">
        <v>12</v>
      </c>
      <c r="G10" s="6"/>
      <c r="H10" s="30" t="s">
        <v>12</v>
      </c>
      <c r="I10" s="15" t="s">
        <v>164</v>
      </c>
      <c r="J10" s="6"/>
      <c r="K10" s="6"/>
      <c r="L10" s="17">
        <f ca="1">(L$1-D10)/365</f>
        <v>21.87123287671233</v>
      </c>
    </row>
    <row r="11" spans="1:12" ht="24" customHeight="1">
      <c r="A11" s="5">
        <v>9</v>
      </c>
      <c r="B11" s="18" t="s">
        <v>17</v>
      </c>
      <c r="C11" s="15" t="s">
        <v>105</v>
      </c>
      <c r="D11" s="16">
        <v>31336</v>
      </c>
      <c r="E11" s="30" t="s">
        <v>12</v>
      </c>
      <c r="F11" s="15" t="s">
        <v>12</v>
      </c>
      <c r="G11" s="6"/>
      <c r="H11" s="28" t="s">
        <v>18</v>
      </c>
      <c r="I11" s="6"/>
      <c r="J11" s="30" t="s">
        <v>12</v>
      </c>
      <c r="K11" s="15" t="s">
        <v>19</v>
      </c>
      <c r="L11" s="17">
        <f ca="1">(L$1-D11)/365</f>
        <v>40.397260273972606</v>
      </c>
    </row>
    <row r="12" spans="1:12" ht="24" customHeight="1">
      <c r="A12" s="5">
        <v>10</v>
      </c>
      <c r="B12" s="15" t="s">
        <v>246</v>
      </c>
      <c r="C12" s="15" t="s">
        <v>256</v>
      </c>
      <c r="D12" s="16">
        <v>29796</v>
      </c>
      <c r="E12" s="30" t="s">
        <v>12</v>
      </c>
      <c r="F12" s="15" t="s">
        <v>12</v>
      </c>
      <c r="G12" s="6"/>
      <c r="H12" s="30" t="s">
        <v>12</v>
      </c>
      <c r="I12" s="15" t="s">
        <v>247</v>
      </c>
      <c r="J12" s="6"/>
      <c r="K12" s="15"/>
      <c r="L12" s="17">
        <f ca="1">(L$1-D12)/365</f>
        <v>44.61643835616438</v>
      </c>
    </row>
    <row r="13" spans="1:12" ht="24" customHeight="1">
      <c r="A13" s="5">
        <v>11</v>
      </c>
      <c r="B13" s="15" t="s">
        <v>264</v>
      </c>
      <c r="C13" s="15" t="s">
        <v>268</v>
      </c>
      <c r="D13" s="16">
        <v>28007</v>
      </c>
      <c r="E13" s="30" t="s">
        <v>12</v>
      </c>
      <c r="F13" s="15" t="s">
        <v>12</v>
      </c>
      <c r="G13" s="6"/>
      <c r="H13" s="30" t="s">
        <v>12</v>
      </c>
      <c r="I13" s="15" t="s">
        <v>265</v>
      </c>
      <c r="J13" s="6"/>
      <c r="K13" s="15"/>
      <c r="L13" s="17">
        <f ca="1">(L$1-D13)/365</f>
        <v>49.517808219178079</v>
      </c>
    </row>
    <row r="14" spans="1:12" ht="24" customHeight="1">
      <c r="A14" s="5">
        <v>12</v>
      </c>
      <c r="B14" s="18" t="s">
        <v>252</v>
      </c>
      <c r="C14" s="15" t="s">
        <v>260</v>
      </c>
      <c r="D14" s="16">
        <v>27209</v>
      </c>
      <c r="E14" s="30" t="s">
        <v>12</v>
      </c>
      <c r="F14" s="15" t="s">
        <v>12</v>
      </c>
      <c r="G14" s="6"/>
      <c r="H14" s="30" t="s">
        <v>12</v>
      </c>
      <c r="I14" s="15" t="s">
        <v>226</v>
      </c>
      <c r="J14" s="6"/>
      <c r="K14" s="15"/>
      <c r="L14" s="17">
        <f ca="1">(L$1-D14)/365</f>
        <v>51.704109589041096</v>
      </c>
    </row>
    <row r="15" spans="1:12" ht="24" customHeight="1">
      <c r="A15" s="5">
        <v>13</v>
      </c>
      <c r="B15" s="15" t="s">
        <v>98</v>
      </c>
      <c r="C15" s="15" t="s">
        <v>99</v>
      </c>
      <c r="D15" s="16">
        <v>30377</v>
      </c>
      <c r="E15" s="30" t="s">
        <v>12</v>
      </c>
      <c r="F15" s="15" t="s">
        <v>12</v>
      </c>
      <c r="G15" s="6"/>
      <c r="H15" s="28" t="s">
        <v>18</v>
      </c>
      <c r="I15" s="6"/>
      <c r="J15" s="30" t="s">
        <v>12</v>
      </c>
      <c r="K15" s="19" t="s">
        <v>100</v>
      </c>
      <c r="L15" s="17">
        <f ca="1">(L$1-D15)/365</f>
        <v>43.024657534246572</v>
      </c>
    </row>
    <row r="16" spans="1:12" ht="24" customHeight="1">
      <c r="A16" s="5">
        <v>14</v>
      </c>
      <c r="B16" s="15" t="s">
        <v>287</v>
      </c>
      <c r="C16" s="15" t="s">
        <v>288</v>
      </c>
      <c r="D16" s="16">
        <v>34033</v>
      </c>
      <c r="E16" s="30" t="s">
        <v>12</v>
      </c>
      <c r="F16" s="15" t="s">
        <v>12</v>
      </c>
      <c r="G16" s="6"/>
      <c r="H16" s="30" t="s">
        <v>12</v>
      </c>
      <c r="I16" s="15" t="s">
        <v>289</v>
      </c>
      <c r="J16" s="6"/>
      <c r="K16" s="15"/>
      <c r="L16" s="17">
        <f ca="1">(L$1-D16)/365</f>
        <v>33.008219178082193</v>
      </c>
    </row>
    <row r="17" spans="1:12" ht="24" customHeight="1">
      <c r="A17" s="5">
        <v>15</v>
      </c>
      <c r="B17" s="18" t="s">
        <v>141</v>
      </c>
      <c r="C17" s="15" t="s">
        <v>142</v>
      </c>
      <c r="D17" s="16">
        <v>27250</v>
      </c>
      <c r="E17" s="30" t="s">
        <v>12</v>
      </c>
      <c r="F17" s="15" t="s">
        <v>12</v>
      </c>
      <c r="G17" s="6"/>
      <c r="H17" s="30" t="s">
        <v>12</v>
      </c>
      <c r="I17" s="19" t="s">
        <v>143</v>
      </c>
      <c r="J17" s="6"/>
      <c r="K17" s="6"/>
      <c r="L17" s="17">
        <f ca="1">(L$1-D17)/365</f>
        <v>51.591780821917808</v>
      </c>
    </row>
    <row r="18" spans="1:12" ht="24" customHeight="1">
      <c r="A18" s="5">
        <v>16</v>
      </c>
      <c r="B18" s="28" t="s">
        <v>355</v>
      </c>
      <c r="C18" s="15" t="s">
        <v>362</v>
      </c>
      <c r="D18" s="16">
        <v>26460</v>
      </c>
      <c r="E18" s="28" t="s">
        <v>18</v>
      </c>
      <c r="F18" s="15" t="s">
        <v>12</v>
      </c>
      <c r="G18" s="6" t="s">
        <v>12</v>
      </c>
      <c r="H18" s="28" t="s">
        <v>18</v>
      </c>
      <c r="I18" s="15"/>
      <c r="J18" s="6" t="s">
        <v>12</v>
      </c>
      <c r="K18" s="19" t="s">
        <v>53</v>
      </c>
      <c r="L18" s="17"/>
    </row>
    <row r="19" spans="1:12" ht="24" customHeight="1">
      <c r="A19" s="5">
        <v>17</v>
      </c>
      <c r="B19" s="15" t="s">
        <v>89</v>
      </c>
      <c r="C19" s="15" t="s">
        <v>90</v>
      </c>
      <c r="D19" s="16">
        <v>18642</v>
      </c>
      <c r="E19" s="30" t="s">
        <v>12</v>
      </c>
      <c r="F19" s="15" t="s">
        <v>12</v>
      </c>
      <c r="G19" s="6"/>
      <c r="H19" s="28" t="s">
        <v>18</v>
      </c>
      <c r="I19" s="6"/>
      <c r="J19" s="30" t="s">
        <v>12</v>
      </c>
      <c r="K19" s="15" t="s">
        <v>16</v>
      </c>
      <c r="L19" s="17">
        <f ca="1">(L$1-D19)/365</f>
        <v>75.175342465753431</v>
      </c>
    </row>
    <row r="20" spans="1:12" ht="24" customHeight="1">
      <c r="A20" s="5">
        <v>18</v>
      </c>
      <c r="B20" s="18" t="s">
        <v>82</v>
      </c>
      <c r="C20" s="15" t="s">
        <v>83</v>
      </c>
      <c r="D20" s="16">
        <v>36357</v>
      </c>
      <c r="E20" s="30" t="s">
        <v>12</v>
      </c>
      <c r="F20" s="15" t="s">
        <v>12</v>
      </c>
      <c r="G20" s="6"/>
      <c r="H20" s="28" t="s">
        <v>18</v>
      </c>
      <c r="I20" s="6"/>
      <c r="J20" s="15" t="s">
        <v>18</v>
      </c>
      <c r="K20" s="6"/>
      <c r="L20" s="17">
        <f ca="1">(L$1-D20)/365</f>
        <v>26.641095890410959</v>
      </c>
    </row>
    <row r="21" spans="1:12" ht="24" customHeight="1">
      <c r="A21" s="5">
        <v>19</v>
      </c>
      <c r="B21" s="28" t="s">
        <v>365</v>
      </c>
      <c r="C21" s="15" t="s">
        <v>369</v>
      </c>
      <c r="D21" s="16">
        <v>45933</v>
      </c>
      <c r="E21" s="30" t="s">
        <v>12</v>
      </c>
      <c r="F21" s="15" t="s">
        <v>12</v>
      </c>
      <c r="G21" s="6" t="s">
        <v>12</v>
      </c>
      <c r="H21" s="30" t="s">
        <v>12</v>
      </c>
      <c r="I21" s="15" t="s">
        <v>366</v>
      </c>
      <c r="J21" s="6" t="s">
        <v>12</v>
      </c>
      <c r="K21" s="15" t="s">
        <v>16</v>
      </c>
      <c r="L21" s="17"/>
    </row>
    <row r="22" spans="1:12" ht="24" customHeight="1">
      <c r="A22" s="5">
        <v>20</v>
      </c>
      <c r="B22" s="15" t="s">
        <v>97</v>
      </c>
      <c r="C22" s="15" t="s">
        <v>210</v>
      </c>
      <c r="D22" s="16">
        <v>30985</v>
      </c>
      <c r="E22" s="28" t="s">
        <v>18</v>
      </c>
      <c r="F22" s="15" t="s">
        <v>18</v>
      </c>
      <c r="G22" s="6"/>
      <c r="H22" s="30" t="s">
        <v>12</v>
      </c>
      <c r="I22" s="6"/>
      <c r="J22" s="15" t="s">
        <v>12</v>
      </c>
      <c r="K22" s="19" t="s">
        <v>53</v>
      </c>
      <c r="L22" s="17">
        <f ca="1">(L$1-D22)/365</f>
        <v>41.358904109589041</v>
      </c>
    </row>
    <row r="23" spans="1:12" ht="24" customHeight="1">
      <c r="A23" s="5">
        <v>21</v>
      </c>
      <c r="B23" s="15" t="s">
        <v>63</v>
      </c>
      <c r="C23" s="15" t="s">
        <v>64</v>
      </c>
      <c r="D23" s="16">
        <v>32417</v>
      </c>
      <c r="E23" s="30" t="s">
        <v>12</v>
      </c>
      <c r="F23" s="15" t="s">
        <v>18</v>
      </c>
      <c r="G23" s="15" t="s">
        <v>12</v>
      </c>
      <c r="H23" s="28" t="s">
        <v>18</v>
      </c>
      <c r="I23" s="6"/>
      <c r="J23" s="15" t="s">
        <v>18</v>
      </c>
      <c r="K23" s="6"/>
      <c r="L23" s="17">
        <f ca="1">(L$1-D23)/365</f>
        <v>37.435616438356163</v>
      </c>
    </row>
    <row r="24" spans="1:12" ht="24" customHeight="1">
      <c r="A24" s="5">
        <v>22</v>
      </c>
      <c r="B24" s="18" t="s">
        <v>348</v>
      </c>
      <c r="C24" s="15" t="s">
        <v>235</v>
      </c>
      <c r="D24" s="16">
        <v>32606</v>
      </c>
      <c r="E24" s="30" t="s">
        <v>12</v>
      </c>
      <c r="F24" s="15" t="s">
        <v>12</v>
      </c>
      <c r="G24" s="6"/>
      <c r="H24" s="28" t="s">
        <v>18</v>
      </c>
      <c r="I24" s="15"/>
      <c r="J24" s="6" t="s">
        <v>18</v>
      </c>
      <c r="K24" s="15"/>
      <c r="L24" s="17">
        <f ca="1">(L$1-D24)/365</f>
        <v>36.917808219178085</v>
      </c>
    </row>
    <row r="25" spans="1:12" ht="24" customHeight="1">
      <c r="A25" s="5">
        <v>23</v>
      </c>
      <c r="B25" s="18" t="s">
        <v>47</v>
      </c>
      <c r="C25" s="15" t="s">
        <v>212</v>
      </c>
      <c r="D25" s="16">
        <v>29057</v>
      </c>
      <c r="E25" s="30" t="s">
        <v>12</v>
      </c>
      <c r="F25" s="15" t="s">
        <v>12</v>
      </c>
      <c r="G25" s="6"/>
      <c r="H25" s="30" t="s">
        <v>12</v>
      </c>
      <c r="I25" s="15" t="s">
        <v>239</v>
      </c>
      <c r="J25" s="6"/>
      <c r="K25" s="6"/>
      <c r="L25" s="17">
        <f ca="1">(L$1-D25)/365</f>
        <v>46.641095890410959</v>
      </c>
    </row>
    <row r="26" spans="1:12" ht="24" customHeight="1">
      <c r="A26" s="5">
        <v>24</v>
      </c>
      <c r="B26" s="15" t="s">
        <v>251</v>
      </c>
      <c r="C26" s="15" t="s">
        <v>259</v>
      </c>
      <c r="D26" s="16">
        <v>29614</v>
      </c>
      <c r="E26" s="30" t="s">
        <v>12</v>
      </c>
      <c r="F26" s="15" t="s">
        <v>12</v>
      </c>
      <c r="G26" s="6"/>
      <c r="H26" s="28" t="s">
        <v>18</v>
      </c>
      <c r="I26" s="15"/>
      <c r="J26" s="6" t="s">
        <v>18</v>
      </c>
      <c r="K26" s="15"/>
      <c r="L26" s="17">
        <f ca="1">(L$1-D26)/365</f>
        <v>45.115068493150687</v>
      </c>
    </row>
    <row r="27" spans="1:12" ht="24" customHeight="1">
      <c r="A27" s="5">
        <v>25</v>
      </c>
      <c r="B27" s="18" t="s">
        <v>218</v>
      </c>
      <c r="C27" s="15" t="s">
        <v>223</v>
      </c>
      <c r="D27" s="16">
        <v>30291</v>
      </c>
      <c r="E27" s="30" t="s">
        <v>12</v>
      </c>
      <c r="F27" s="15" t="s">
        <v>12</v>
      </c>
      <c r="G27" s="6"/>
      <c r="H27" s="30" t="s">
        <v>12</v>
      </c>
      <c r="I27" s="15" t="s">
        <v>219</v>
      </c>
      <c r="J27" s="6"/>
      <c r="K27" s="15"/>
      <c r="L27" s="17">
        <f ca="1">(L$1-D27)/365</f>
        <v>43.260273972602739</v>
      </c>
    </row>
    <row r="28" spans="1:12" ht="24" customHeight="1">
      <c r="A28" s="5">
        <v>26</v>
      </c>
      <c r="B28" s="15" t="s">
        <v>33</v>
      </c>
      <c r="C28" s="15" t="s">
        <v>198</v>
      </c>
      <c r="D28" s="16">
        <v>34106</v>
      </c>
      <c r="E28" s="30" t="s">
        <v>12</v>
      </c>
      <c r="F28" s="15" t="s">
        <v>18</v>
      </c>
      <c r="G28" s="15" t="s">
        <v>12</v>
      </c>
      <c r="H28" s="28" t="s">
        <v>18</v>
      </c>
      <c r="I28" s="6"/>
      <c r="J28" s="30" t="s">
        <v>12</v>
      </c>
      <c r="K28" s="15" t="s">
        <v>30</v>
      </c>
      <c r="L28" s="17">
        <f ca="1">(L$1-D28)/365</f>
        <v>32.80821917808219</v>
      </c>
    </row>
    <row r="29" spans="1:12" ht="24" customHeight="1">
      <c r="A29" s="5">
        <v>27</v>
      </c>
      <c r="B29" s="18" t="s">
        <v>165</v>
      </c>
      <c r="C29" s="15" t="s">
        <v>166</v>
      </c>
      <c r="D29" s="16">
        <v>33770</v>
      </c>
      <c r="E29" s="30" t="s">
        <v>12</v>
      </c>
      <c r="F29" s="15" t="s">
        <v>12</v>
      </c>
      <c r="G29" s="6"/>
      <c r="H29" s="30" t="s">
        <v>12</v>
      </c>
      <c r="I29" s="15" t="s">
        <v>167</v>
      </c>
      <c r="J29" s="6"/>
      <c r="K29" s="6"/>
      <c r="L29" s="17">
        <f ca="1">(L$1-D29)/365</f>
        <v>33.728767123287675</v>
      </c>
    </row>
    <row r="30" spans="1:12" ht="24" customHeight="1">
      <c r="A30" s="5">
        <v>28</v>
      </c>
      <c r="B30" s="15" t="s">
        <v>101</v>
      </c>
      <c r="C30" s="15" t="s">
        <v>102</v>
      </c>
      <c r="D30" s="16">
        <v>28303</v>
      </c>
      <c r="E30" s="30" t="s">
        <v>12</v>
      </c>
      <c r="F30" s="15" t="s">
        <v>12</v>
      </c>
      <c r="G30" s="6"/>
      <c r="H30" s="28" t="s">
        <v>18</v>
      </c>
      <c r="I30" s="6"/>
      <c r="J30" s="30" t="s">
        <v>12</v>
      </c>
      <c r="K30" s="15" t="s">
        <v>19</v>
      </c>
      <c r="L30" s="17">
        <f ca="1">(L$1-D30)/365</f>
        <v>48.706849315068496</v>
      </c>
    </row>
    <row r="31" spans="1:12" ht="24" customHeight="1">
      <c r="A31" s="5">
        <v>29</v>
      </c>
      <c r="B31" s="18" t="s">
        <v>60</v>
      </c>
      <c r="C31" s="15" t="s">
        <v>194</v>
      </c>
      <c r="D31" s="16">
        <v>30879</v>
      </c>
      <c r="E31" s="30" t="s">
        <v>12</v>
      </c>
      <c r="F31" s="15" t="s">
        <v>12</v>
      </c>
      <c r="G31" s="6"/>
      <c r="H31" s="28" t="s">
        <v>18</v>
      </c>
      <c r="I31" s="6"/>
      <c r="J31" s="30" t="s">
        <v>12</v>
      </c>
      <c r="K31" s="15" t="s">
        <v>61</v>
      </c>
      <c r="L31" s="17">
        <f ca="1">(L$1-D31)/365</f>
        <v>41.649315068493152</v>
      </c>
    </row>
    <row r="32" spans="1:12" ht="24" customHeight="1">
      <c r="A32" s="5">
        <v>30</v>
      </c>
      <c r="B32" s="15" t="s">
        <v>281</v>
      </c>
      <c r="C32" s="15" t="s">
        <v>282</v>
      </c>
      <c r="D32" s="16"/>
      <c r="E32" s="30" t="s">
        <v>12</v>
      </c>
      <c r="F32" s="15" t="s">
        <v>12</v>
      </c>
      <c r="G32" s="6"/>
      <c r="H32" s="15"/>
      <c r="I32" s="15"/>
      <c r="J32" s="6" t="s">
        <v>12</v>
      </c>
      <c r="K32" s="15" t="s">
        <v>55</v>
      </c>
      <c r="L32" s="17"/>
    </row>
    <row r="33" spans="1:12" ht="24" customHeight="1">
      <c r="A33" s="5">
        <v>31</v>
      </c>
      <c r="B33" s="28" t="s">
        <v>349</v>
      </c>
      <c r="C33" s="15" t="s">
        <v>358</v>
      </c>
      <c r="D33" s="16">
        <v>31326</v>
      </c>
      <c r="E33" s="30" t="s">
        <v>12</v>
      </c>
      <c r="F33" s="15" t="s">
        <v>12</v>
      </c>
      <c r="G33" s="6"/>
      <c r="H33" s="28" t="s">
        <v>18</v>
      </c>
      <c r="I33" s="15"/>
      <c r="J33" s="6" t="s">
        <v>12</v>
      </c>
      <c r="K33" s="19" t="s">
        <v>100</v>
      </c>
      <c r="L33" s="17"/>
    </row>
    <row r="34" spans="1:12" ht="24" customHeight="1">
      <c r="A34" s="5">
        <v>32</v>
      </c>
      <c r="B34" s="18" t="s">
        <v>115</v>
      </c>
      <c r="C34" s="15" t="s">
        <v>116</v>
      </c>
      <c r="D34" s="16">
        <v>24419</v>
      </c>
      <c r="E34" s="30" t="s">
        <v>12</v>
      </c>
      <c r="F34" s="15" t="s">
        <v>12</v>
      </c>
      <c r="G34" s="6"/>
      <c r="H34" s="30" t="s">
        <v>12</v>
      </c>
      <c r="I34" s="15" t="s">
        <v>41</v>
      </c>
      <c r="J34" s="6"/>
      <c r="K34" s="6"/>
      <c r="L34" s="17">
        <f ca="1">(L$1-D34)/365</f>
        <v>59.347945205479455</v>
      </c>
    </row>
    <row r="35" spans="1:12" ht="24" customHeight="1">
      <c r="A35" s="5">
        <v>33</v>
      </c>
      <c r="B35" s="15" t="s">
        <v>76</v>
      </c>
      <c r="C35" s="15" t="s">
        <v>77</v>
      </c>
      <c r="D35" s="16">
        <v>27762</v>
      </c>
      <c r="E35" s="30" t="s">
        <v>12</v>
      </c>
      <c r="F35" s="15" t="s">
        <v>12</v>
      </c>
      <c r="G35" s="6"/>
      <c r="H35" s="28" t="s">
        <v>18</v>
      </c>
      <c r="I35" s="6"/>
      <c r="J35" s="15" t="s">
        <v>18</v>
      </c>
      <c r="K35" s="6"/>
      <c r="L35" s="17">
        <f ca="1">(L$1-D35)/365</f>
        <v>50.18904109589041</v>
      </c>
    </row>
    <row r="36" spans="1:12" ht="24" customHeight="1">
      <c r="A36" s="5">
        <v>34</v>
      </c>
      <c r="B36" s="15" t="s">
        <v>62</v>
      </c>
      <c r="C36" s="15" t="s">
        <v>201</v>
      </c>
      <c r="D36" s="16">
        <v>32089</v>
      </c>
      <c r="E36" s="30" t="s">
        <v>12</v>
      </c>
      <c r="F36" s="15" t="s">
        <v>12</v>
      </c>
      <c r="G36" s="6"/>
      <c r="H36" s="28" t="s">
        <v>18</v>
      </c>
      <c r="I36" s="6"/>
      <c r="J36" s="30" t="s">
        <v>12</v>
      </c>
      <c r="K36" s="15" t="s">
        <v>61</v>
      </c>
      <c r="L36" s="17">
        <f ca="1">(L$1-D36)/365</f>
        <v>38.334246575342469</v>
      </c>
    </row>
    <row r="37" spans="1:12" ht="24" customHeight="1">
      <c r="A37" s="5">
        <v>35</v>
      </c>
      <c r="B37" s="18" t="s">
        <v>31</v>
      </c>
      <c r="C37" s="15" t="s">
        <v>197</v>
      </c>
      <c r="D37" s="16">
        <v>33395</v>
      </c>
      <c r="E37" s="30" t="s">
        <v>12</v>
      </c>
      <c r="F37" s="15" t="s">
        <v>12</v>
      </c>
      <c r="G37" s="6"/>
      <c r="H37" s="28" t="s">
        <v>18</v>
      </c>
      <c r="I37" s="6"/>
      <c r="J37" s="30" t="s">
        <v>12</v>
      </c>
      <c r="K37" s="15" t="s">
        <v>32</v>
      </c>
      <c r="L37" s="17">
        <f ca="1">(L$1-D37)/365</f>
        <v>34.756164383561647</v>
      </c>
    </row>
    <row r="38" spans="1:12" ht="24" customHeight="1">
      <c r="A38" s="5">
        <v>36</v>
      </c>
      <c r="B38" s="15" t="s">
        <v>150</v>
      </c>
      <c r="C38" s="15" t="s">
        <v>151</v>
      </c>
      <c r="D38" s="16">
        <v>27875</v>
      </c>
      <c r="E38" s="30" t="s">
        <v>12</v>
      </c>
      <c r="F38" s="15" t="s">
        <v>12</v>
      </c>
      <c r="G38" s="6"/>
      <c r="H38" s="30" t="s">
        <v>12</v>
      </c>
      <c r="I38" s="15" t="s">
        <v>152</v>
      </c>
      <c r="J38" s="6"/>
      <c r="K38" s="6"/>
      <c r="L38" s="17">
        <f ca="1">(L$1-D38)/365</f>
        <v>49.87945205479452</v>
      </c>
    </row>
    <row r="39" spans="1:12" ht="24" customHeight="1">
      <c r="A39" s="5">
        <v>37</v>
      </c>
      <c r="B39" s="28" t="s">
        <v>351</v>
      </c>
      <c r="C39" s="15" t="s">
        <v>352</v>
      </c>
      <c r="D39" s="16">
        <v>32552</v>
      </c>
      <c r="E39" s="30" t="s">
        <v>12</v>
      </c>
      <c r="F39" s="15" t="s">
        <v>12</v>
      </c>
      <c r="G39" s="6"/>
      <c r="H39" s="28" t="s">
        <v>18</v>
      </c>
      <c r="I39" s="15"/>
      <c r="J39" s="6" t="s">
        <v>18</v>
      </c>
      <c r="K39" s="15"/>
      <c r="L39" s="17"/>
    </row>
    <row r="40" spans="1:12" ht="24" customHeight="1">
      <c r="A40" s="5">
        <v>38</v>
      </c>
      <c r="B40" s="15" t="s">
        <v>56</v>
      </c>
      <c r="C40" s="15" t="s">
        <v>57</v>
      </c>
      <c r="D40" s="16">
        <v>30902</v>
      </c>
      <c r="E40" s="31" t="s">
        <v>18</v>
      </c>
      <c r="F40" s="15" t="s">
        <v>12</v>
      </c>
      <c r="G40" s="15" t="s">
        <v>12</v>
      </c>
      <c r="H40" s="28" t="s">
        <v>18</v>
      </c>
      <c r="I40" s="6"/>
      <c r="J40" s="30" t="s">
        <v>12</v>
      </c>
      <c r="K40" s="15" t="s">
        <v>19</v>
      </c>
      <c r="L40" s="17">
        <f ca="1">(L$1-D40)/365</f>
        <v>41.586301369863016</v>
      </c>
    </row>
    <row r="41" spans="1:12" ht="24" customHeight="1">
      <c r="A41" s="5">
        <v>39</v>
      </c>
      <c r="B41" s="15" t="s">
        <v>38</v>
      </c>
      <c r="C41" s="15" t="s">
        <v>39</v>
      </c>
      <c r="D41" s="16">
        <v>31370</v>
      </c>
      <c r="E41" s="30" t="s">
        <v>12</v>
      </c>
      <c r="F41" s="15" t="s">
        <v>12</v>
      </c>
      <c r="G41" s="15" t="s">
        <v>12</v>
      </c>
      <c r="H41" s="28" t="s">
        <v>18</v>
      </c>
      <c r="I41" s="6"/>
      <c r="J41" s="6"/>
      <c r="K41" s="6"/>
      <c r="L41" s="17">
        <f ca="1">(L$1-D41)/365</f>
        <v>40.304109589041097</v>
      </c>
    </row>
    <row r="42" spans="1:12" ht="24" customHeight="1">
      <c r="A42" s="5">
        <v>40</v>
      </c>
      <c r="B42" s="15" t="s">
        <v>84</v>
      </c>
      <c r="C42" s="15" t="s">
        <v>85</v>
      </c>
      <c r="D42" s="16">
        <v>31051</v>
      </c>
      <c r="E42" s="28" t="s">
        <v>18</v>
      </c>
      <c r="F42" s="15" t="s">
        <v>12</v>
      </c>
      <c r="G42" s="101" t="s">
        <v>70</v>
      </c>
      <c r="H42" s="28" t="s">
        <v>18</v>
      </c>
      <c r="I42" s="6"/>
      <c r="J42" s="30" t="s">
        <v>12</v>
      </c>
      <c r="K42" s="15" t="s">
        <v>19</v>
      </c>
      <c r="L42" s="17">
        <f ca="1">(L$1-D42)/365</f>
        <v>41.178082191780824</v>
      </c>
    </row>
    <row r="43" spans="1:12" ht="24" customHeight="1">
      <c r="A43" s="5">
        <v>41</v>
      </c>
      <c r="B43" s="15" t="s">
        <v>65</v>
      </c>
      <c r="C43" s="15" t="s">
        <v>66</v>
      </c>
      <c r="D43" s="16">
        <v>36008</v>
      </c>
      <c r="E43" s="30" t="s">
        <v>12</v>
      </c>
      <c r="F43" s="15" t="s">
        <v>12</v>
      </c>
      <c r="G43" s="6"/>
      <c r="H43" s="28" t="s">
        <v>18</v>
      </c>
      <c r="I43" s="6"/>
      <c r="J43" s="15" t="s">
        <v>18</v>
      </c>
      <c r="K43" s="6"/>
      <c r="L43" s="17">
        <f ca="1">(L$1-D43)/365</f>
        <v>27.597260273972601</v>
      </c>
    </row>
    <row r="44" spans="1:12" ht="24" customHeight="1">
      <c r="A44" s="5">
        <v>42</v>
      </c>
      <c r="B44" s="15" t="s">
        <v>168</v>
      </c>
      <c r="C44" s="15" t="s">
        <v>169</v>
      </c>
      <c r="D44" s="16">
        <v>26638</v>
      </c>
      <c r="E44" s="30" t="s">
        <v>12</v>
      </c>
      <c r="F44" s="15" t="s">
        <v>12</v>
      </c>
      <c r="G44" s="6"/>
      <c r="H44" s="30" t="s">
        <v>12</v>
      </c>
      <c r="I44" s="15" t="s">
        <v>170</v>
      </c>
      <c r="J44" s="6"/>
      <c r="K44" s="6"/>
      <c r="L44" s="17">
        <f ca="1">(L$1-D44)/365</f>
        <v>53.268493150684932</v>
      </c>
    </row>
    <row r="45" spans="1:12" ht="24" customHeight="1">
      <c r="A45" s="5">
        <v>43</v>
      </c>
      <c r="B45" s="15" t="s">
        <v>385</v>
      </c>
      <c r="C45" s="6"/>
      <c r="D45" s="16">
        <v>41514</v>
      </c>
      <c r="E45" s="28" t="s">
        <v>18</v>
      </c>
      <c r="F45" s="15" t="s">
        <v>18</v>
      </c>
      <c r="G45" s="15" t="s">
        <v>12</v>
      </c>
      <c r="H45" s="28" t="s">
        <v>18</v>
      </c>
      <c r="I45" s="6"/>
      <c r="J45" s="30" t="s">
        <v>12</v>
      </c>
      <c r="K45" s="15" t="s">
        <v>88</v>
      </c>
      <c r="L45" s="17">
        <f ca="1">(L$1-D45)/365</f>
        <v>12.512328767123288</v>
      </c>
    </row>
    <row r="46" spans="1:12" ht="24" customHeight="1">
      <c r="A46" s="5">
        <v>44</v>
      </c>
      <c r="B46" s="15" t="s">
        <v>279</v>
      </c>
      <c r="C46" s="15" t="s">
        <v>280</v>
      </c>
      <c r="D46" s="16">
        <v>24552</v>
      </c>
      <c r="E46" s="30" t="s">
        <v>12</v>
      </c>
      <c r="F46" s="15" t="s">
        <v>12</v>
      </c>
      <c r="G46" s="6"/>
      <c r="H46" s="28" t="s">
        <v>18</v>
      </c>
      <c r="I46" s="15"/>
      <c r="J46" s="6" t="s">
        <v>18</v>
      </c>
      <c r="K46" s="15"/>
      <c r="L46" s="17">
        <f ca="1">(L$1-D46)/365</f>
        <v>58.983561643835614</v>
      </c>
    </row>
    <row r="47" spans="1:12" ht="24" customHeight="1">
      <c r="A47" s="5">
        <v>45</v>
      </c>
      <c r="B47" s="15" t="s">
        <v>45</v>
      </c>
      <c r="C47" s="15" t="s">
        <v>200</v>
      </c>
      <c r="D47" s="16">
        <v>28154</v>
      </c>
      <c r="E47" s="30" t="s">
        <v>12</v>
      </c>
      <c r="F47" s="15" t="s">
        <v>12</v>
      </c>
      <c r="G47" s="6"/>
      <c r="H47" s="6"/>
      <c r="I47" s="15"/>
      <c r="J47" s="6"/>
      <c r="K47" s="6"/>
      <c r="L47" s="17">
        <f ca="1">(L$1-D47)/365</f>
        <v>49.115068493150687</v>
      </c>
    </row>
    <row r="48" spans="1:12" ht="24" customHeight="1">
      <c r="A48" s="5">
        <v>46</v>
      </c>
      <c r="B48" s="15" t="s">
        <v>26</v>
      </c>
      <c r="C48" s="15" t="s">
        <v>187</v>
      </c>
      <c r="D48" s="16">
        <v>34318</v>
      </c>
      <c r="E48" s="30" t="s">
        <v>12</v>
      </c>
      <c r="F48" s="15" t="s">
        <v>12</v>
      </c>
      <c r="G48" s="6"/>
      <c r="H48" s="30" t="s">
        <v>12</v>
      </c>
      <c r="I48" s="15" t="s">
        <v>27</v>
      </c>
      <c r="J48" s="6"/>
      <c r="K48" s="6"/>
      <c r="L48" s="17">
        <f ca="1">(L$1-D48)/365</f>
        <v>32.227397260273975</v>
      </c>
    </row>
    <row r="49" spans="1:12" ht="24" customHeight="1">
      <c r="A49" s="5">
        <v>47</v>
      </c>
      <c r="B49" s="28" t="s">
        <v>364</v>
      </c>
      <c r="C49" s="15" t="s">
        <v>360</v>
      </c>
      <c r="D49" s="16">
        <v>25964</v>
      </c>
      <c r="E49" s="30" t="s">
        <v>12</v>
      </c>
      <c r="F49" s="15" t="s">
        <v>18</v>
      </c>
      <c r="G49" s="6"/>
      <c r="H49" s="30" t="s">
        <v>12</v>
      </c>
      <c r="I49" s="15" t="s">
        <v>44</v>
      </c>
      <c r="J49" s="6"/>
      <c r="K49" s="15"/>
      <c r="L49" s="17"/>
    </row>
    <row r="50" spans="1:12" ht="24" customHeight="1">
      <c r="A50" s="5">
        <v>48</v>
      </c>
      <c r="B50" s="15" t="s">
        <v>158</v>
      </c>
      <c r="C50" s="15" t="s">
        <v>159</v>
      </c>
      <c r="D50" s="16">
        <v>18532</v>
      </c>
      <c r="E50" s="30" t="s">
        <v>12</v>
      </c>
      <c r="F50" s="6" t="s">
        <v>12</v>
      </c>
      <c r="G50" s="15" t="s">
        <v>12</v>
      </c>
      <c r="H50" s="30" t="s">
        <v>12</v>
      </c>
      <c r="I50" s="6"/>
      <c r="J50" s="15" t="s">
        <v>12</v>
      </c>
      <c r="K50" s="19" t="s">
        <v>160</v>
      </c>
      <c r="L50" s="17">
        <f ca="1">(L$1-D50)/365</f>
        <v>75.476712328767121</v>
      </c>
    </row>
    <row r="51" spans="1:12" ht="24" customHeight="1">
      <c r="A51" s="5">
        <v>49</v>
      </c>
      <c r="B51" s="28" t="s">
        <v>353</v>
      </c>
      <c r="C51" s="15" t="s">
        <v>361</v>
      </c>
      <c r="D51" s="16">
        <v>40281</v>
      </c>
      <c r="E51" s="30" t="s">
        <v>12</v>
      </c>
      <c r="F51" s="15" t="s">
        <v>12</v>
      </c>
      <c r="G51" s="6"/>
      <c r="H51" s="30" t="s">
        <v>12</v>
      </c>
      <c r="I51" s="15" t="s">
        <v>354</v>
      </c>
      <c r="J51" s="6"/>
      <c r="K51" s="15"/>
      <c r="L51" s="17"/>
    </row>
    <row r="52" spans="1:12" ht="24" customHeight="1">
      <c r="A52" s="5">
        <v>50</v>
      </c>
      <c r="B52" s="15" t="s">
        <v>120</v>
      </c>
      <c r="C52" s="15" t="s">
        <v>121</v>
      </c>
      <c r="D52" s="16">
        <v>39219</v>
      </c>
      <c r="E52" s="30" t="s">
        <v>12</v>
      </c>
      <c r="F52" s="15" t="s">
        <v>12</v>
      </c>
      <c r="G52" s="6"/>
      <c r="H52" s="30" t="s">
        <v>12</v>
      </c>
      <c r="I52" s="15" t="s">
        <v>119</v>
      </c>
      <c r="J52" s="6"/>
      <c r="K52" s="6"/>
      <c r="L52" s="17">
        <f ca="1">(L$1-D52)/365</f>
        <v>18.8</v>
      </c>
    </row>
    <row r="53" spans="1:12" ht="24" customHeight="1">
      <c r="A53" s="5">
        <v>51</v>
      </c>
      <c r="B53" s="15" t="s">
        <v>293</v>
      </c>
      <c r="C53" s="15" t="s">
        <v>294</v>
      </c>
      <c r="D53" s="16"/>
      <c r="E53" s="28" t="s">
        <v>18</v>
      </c>
      <c r="F53" s="15" t="s">
        <v>18</v>
      </c>
      <c r="G53" s="6" t="s">
        <v>12</v>
      </c>
      <c r="H53" s="28" t="s">
        <v>18</v>
      </c>
      <c r="I53" s="15"/>
      <c r="J53" s="34" t="s">
        <v>12</v>
      </c>
      <c r="K53" s="15" t="s">
        <v>19</v>
      </c>
      <c r="L53" s="17"/>
    </row>
    <row r="54" spans="1:12" ht="24" customHeight="1">
      <c r="A54" s="5">
        <v>52</v>
      </c>
      <c r="B54" s="15" t="s">
        <v>130</v>
      </c>
      <c r="C54" s="15" t="s">
        <v>131</v>
      </c>
      <c r="D54" s="16">
        <v>39484</v>
      </c>
      <c r="E54" s="30" t="s">
        <v>12</v>
      </c>
      <c r="F54" s="15" t="s">
        <v>12</v>
      </c>
      <c r="G54" s="6"/>
      <c r="H54" s="30" t="s">
        <v>12</v>
      </c>
      <c r="I54" s="15" t="s">
        <v>132</v>
      </c>
      <c r="J54" s="6"/>
      <c r="K54" s="19" t="s">
        <v>133</v>
      </c>
      <c r="L54" s="17">
        <f ca="1">(L$1-D54)/365</f>
        <v>18.073972602739726</v>
      </c>
    </row>
    <row r="55" spans="1:12" ht="24" customHeight="1">
      <c r="A55" s="5">
        <v>53</v>
      </c>
      <c r="B55" s="15" t="s">
        <v>35</v>
      </c>
      <c r="C55" s="15" t="s">
        <v>205</v>
      </c>
      <c r="D55" s="16">
        <v>37449</v>
      </c>
      <c r="E55" s="30" t="s">
        <v>12</v>
      </c>
      <c r="F55" s="15" t="s">
        <v>12</v>
      </c>
      <c r="G55" s="6"/>
      <c r="H55" s="28" t="s">
        <v>18</v>
      </c>
      <c r="I55" s="6"/>
      <c r="J55" s="30" t="s">
        <v>12</v>
      </c>
      <c r="K55" s="15" t="s">
        <v>36</v>
      </c>
      <c r="L55" s="17">
        <f ca="1">(L$1-D55)/365</f>
        <v>23.649315068493152</v>
      </c>
    </row>
    <row r="56" spans="1:12" ht="24" customHeight="1">
      <c r="A56" s="5">
        <v>54</v>
      </c>
      <c r="B56" s="15" t="s">
        <v>283</v>
      </c>
      <c r="C56" s="15" t="s">
        <v>284</v>
      </c>
      <c r="D56" s="16">
        <v>19319</v>
      </c>
      <c r="E56" s="30" t="s">
        <v>12</v>
      </c>
      <c r="F56" s="15" t="s">
        <v>12</v>
      </c>
      <c r="G56" s="6"/>
      <c r="H56" s="15"/>
      <c r="I56" s="15"/>
      <c r="J56" s="6" t="s">
        <v>12</v>
      </c>
      <c r="K56" s="15" t="s">
        <v>55</v>
      </c>
      <c r="L56" s="17">
        <f ca="1">(L$1-D56)/365</f>
        <v>73.320547945205476</v>
      </c>
    </row>
    <row r="57" spans="1:12" ht="24" customHeight="1">
      <c r="A57" s="5">
        <v>55</v>
      </c>
      <c r="B57" s="18" t="s">
        <v>216</v>
      </c>
      <c r="C57" s="15" t="s">
        <v>204</v>
      </c>
      <c r="D57" s="6"/>
      <c r="E57" s="30" t="s">
        <v>12</v>
      </c>
      <c r="F57" s="15" t="s">
        <v>12</v>
      </c>
      <c r="G57" s="6"/>
      <c r="H57" s="30" t="s">
        <v>12</v>
      </c>
      <c r="I57" s="15" t="s">
        <v>44</v>
      </c>
      <c r="J57" s="15" t="s">
        <v>12</v>
      </c>
      <c r="K57" s="15" t="s">
        <v>36</v>
      </c>
      <c r="L57" s="17"/>
    </row>
    <row r="58" spans="1:12" ht="24" customHeight="1">
      <c r="A58" s="5">
        <v>56</v>
      </c>
      <c r="B58" s="15" t="s">
        <v>67</v>
      </c>
      <c r="C58" s="15" t="s">
        <v>202</v>
      </c>
      <c r="D58" s="16">
        <v>28828</v>
      </c>
      <c r="E58" s="30" t="s">
        <v>12</v>
      </c>
      <c r="F58" s="15" t="s">
        <v>12</v>
      </c>
      <c r="G58" s="6"/>
      <c r="H58" s="28" t="s">
        <v>18</v>
      </c>
      <c r="I58" s="6"/>
      <c r="J58" s="15" t="s">
        <v>18</v>
      </c>
      <c r="K58" s="6"/>
      <c r="L58" s="17">
        <f ca="1">(L$1-D58)/365</f>
        <v>47.268493150684932</v>
      </c>
    </row>
    <row r="59" spans="1:12" ht="24" customHeight="1">
      <c r="A59" s="5">
        <v>57</v>
      </c>
      <c r="B59" s="15" t="s">
        <v>21</v>
      </c>
      <c r="C59" s="15" t="s">
        <v>214</v>
      </c>
      <c r="D59" s="16">
        <v>24072</v>
      </c>
      <c r="E59" s="30" t="s">
        <v>12</v>
      </c>
      <c r="F59" s="15" t="s">
        <v>12</v>
      </c>
      <c r="G59" s="6"/>
      <c r="H59" s="30" t="s">
        <v>12</v>
      </c>
      <c r="I59" s="15" t="s">
        <v>22</v>
      </c>
      <c r="J59" s="6"/>
      <c r="K59" s="6"/>
      <c r="L59" s="17">
        <f ca="1">(L$1-D59)/365</f>
        <v>60.298630136986304</v>
      </c>
    </row>
    <row r="60" spans="1:12" ht="24" customHeight="1">
      <c r="A60" s="5">
        <v>58</v>
      </c>
      <c r="B60" s="15" t="s">
        <v>23</v>
      </c>
      <c r="C60" s="15" t="s">
        <v>186</v>
      </c>
      <c r="D60" s="16">
        <v>35592</v>
      </c>
      <c r="E60" s="30" t="s">
        <v>12</v>
      </c>
      <c r="F60" s="15" t="s">
        <v>18</v>
      </c>
      <c r="G60" s="6"/>
      <c r="H60" s="30" t="s">
        <v>12</v>
      </c>
      <c r="I60" s="15" t="s">
        <v>346</v>
      </c>
      <c r="J60" s="6"/>
      <c r="K60" s="6"/>
      <c r="L60" s="17">
        <f ca="1">(L$1-D60)/365</f>
        <v>28.736986301369864</v>
      </c>
    </row>
    <row r="61" spans="1:12" ht="24" customHeight="1">
      <c r="A61" s="5">
        <v>59</v>
      </c>
      <c r="B61" s="18" t="s">
        <v>244</v>
      </c>
      <c r="C61" s="15" t="s">
        <v>254</v>
      </c>
      <c r="D61" s="16">
        <v>35325</v>
      </c>
      <c r="E61" s="30" t="s">
        <v>12</v>
      </c>
      <c r="F61" s="15" t="s">
        <v>12</v>
      </c>
      <c r="G61" s="6"/>
      <c r="H61" s="28" t="s">
        <v>18</v>
      </c>
      <c r="I61" s="15"/>
      <c r="J61" s="6"/>
      <c r="K61" s="15"/>
      <c r="L61" s="17">
        <f ca="1">(L$1-D61)/365</f>
        <v>29.468493150684932</v>
      </c>
    </row>
    <row r="62" spans="1:12" ht="24" customHeight="1">
      <c r="A62" s="5">
        <v>60</v>
      </c>
      <c r="B62" s="15" t="s">
        <v>108</v>
      </c>
      <c r="C62" s="15" t="s">
        <v>109</v>
      </c>
      <c r="D62" s="16">
        <v>28131</v>
      </c>
      <c r="E62" s="28" t="s">
        <v>18</v>
      </c>
      <c r="F62" s="15" t="s">
        <v>12</v>
      </c>
      <c r="G62" s="6"/>
      <c r="H62" s="30" t="s">
        <v>12</v>
      </c>
      <c r="I62" s="15" t="s">
        <v>44</v>
      </c>
      <c r="J62" s="6"/>
      <c r="K62" s="19" t="s">
        <v>110</v>
      </c>
      <c r="L62" s="17">
        <f ca="1">(L$1-D62)/365</f>
        <v>49.178082191780824</v>
      </c>
    </row>
    <row r="63" spans="1:12" ht="24" customHeight="1">
      <c r="A63" s="5">
        <v>61</v>
      </c>
      <c r="B63" s="15" t="s">
        <v>46</v>
      </c>
      <c r="C63" s="15" t="s">
        <v>199</v>
      </c>
      <c r="D63" s="16">
        <v>21167</v>
      </c>
      <c r="E63" s="30" t="s">
        <v>12</v>
      </c>
      <c r="F63" s="15" t="s">
        <v>12</v>
      </c>
      <c r="G63" s="6"/>
      <c r="H63" s="28" t="s">
        <v>18</v>
      </c>
      <c r="I63" s="6"/>
      <c r="J63" s="30" t="s">
        <v>12</v>
      </c>
      <c r="K63" s="15" t="s">
        <v>19</v>
      </c>
      <c r="L63" s="17">
        <f ca="1">(L$1-D63)/365</f>
        <v>68.257534246575347</v>
      </c>
    </row>
    <row r="64" spans="1:12" ht="24" customHeight="1">
      <c r="A64" s="5">
        <v>62</v>
      </c>
      <c r="B64" s="18" t="s">
        <v>106</v>
      </c>
      <c r="C64" s="15" t="s">
        <v>107</v>
      </c>
      <c r="D64" s="16">
        <v>28990</v>
      </c>
      <c r="E64" s="30" t="s">
        <v>12</v>
      </c>
      <c r="F64" s="15" t="s">
        <v>12</v>
      </c>
      <c r="G64" s="6"/>
      <c r="H64" s="28" t="s">
        <v>18</v>
      </c>
      <c r="I64" s="6"/>
      <c r="J64" s="30" t="s">
        <v>12</v>
      </c>
      <c r="K64" s="15" t="s">
        <v>55</v>
      </c>
      <c r="L64" s="17">
        <f ca="1">(L$1-D64)/365</f>
        <v>46.824657534246576</v>
      </c>
    </row>
    <row r="65" spans="1:12" ht="24" customHeight="1">
      <c r="A65" s="5">
        <v>63</v>
      </c>
      <c r="B65" s="15" t="s">
        <v>305</v>
      </c>
      <c r="C65" s="15" t="s">
        <v>308</v>
      </c>
      <c r="D65" s="16">
        <v>33784</v>
      </c>
      <c r="E65" s="30" t="s">
        <v>12</v>
      </c>
      <c r="F65" s="15" t="s">
        <v>12</v>
      </c>
      <c r="G65" s="6"/>
      <c r="H65" s="28" t="s">
        <v>18</v>
      </c>
      <c r="I65" s="15"/>
      <c r="J65" s="34" t="s">
        <v>12</v>
      </c>
      <c r="K65" s="19" t="s">
        <v>306</v>
      </c>
      <c r="L65" s="17">
        <f ca="1">(L$1-D65)/365</f>
        <v>33.69041095890411</v>
      </c>
    </row>
    <row r="66" spans="1:12" ht="24" customHeight="1">
      <c r="A66" s="5">
        <v>64</v>
      </c>
      <c r="B66" s="18" t="s">
        <v>181</v>
      </c>
      <c r="C66" s="15" t="s">
        <v>182</v>
      </c>
      <c r="D66" s="16">
        <v>27930</v>
      </c>
      <c r="E66" s="30" t="s">
        <v>12</v>
      </c>
      <c r="F66" s="15" t="s">
        <v>18</v>
      </c>
      <c r="G66" s="15" t="s">
        <v>12</v>
      </c>
      <c r="H66" s="30" t="s">
        <v>12</v>
      </c>
      <c r="I66" s="106" t="s">
        <v>240</v>
      </c>
      <c r="J66" s="6"/>
      <c r="K66" s="6"/>
      <c r="L66" s="17">
        <f ca="1">(L$1-D66)/365</f>
        <v>49.728767123287675</v>
      </c>
    </row>
    <row r="67" spans="1:12" ht="24" customHeight="1">
      <c r="A67" s="5">
        <v>65</v>
      </c>
      <c r="B67" s="28" t="s">
        <v>367</v>
      </c>
      <c r="C67" s="15" t="s">
        <v>370</v>
      </c>
      <c r="D67" s="16"/>
      <c r="E67" s="28" t="s">
        <v>18</v>
      </c>
      <c r="F67" s="15" t="s">
        <v>12</v>
      </c>
      <c r="G67" s="6" t="s">
        <v>12</v>
      </c>
      <c r="H67" s="30" t="s">
        <v>18</v>
      </c>
      <c r="I67" s="15"/>
      <c r="J67" s="6" t="s">
        <v>12</v>
      </c>
      <c r="K67" s="19" t="s">
        <v>368</v>
      </c>
      <c r="L67" s="17"/>
    </row>
    <row r="68" spans="1:12" ht="24" customHeight="1">
      <c r="A68" s="5">
        <v>66</v>
      </c>
      <c r="B68" s="15" t="s">
        <v>37</v>
      </c>
      <c r="C68" s="15" t="s">
        <v>192</v>
      </c>
      <c r="D68" s="16">
        <v>24475</v>
      </c>
      <c r="E68" s="30" t="s">
        <v>12</v>
      </c>
      <c r="F68" s="15" t="s">
        <v>12</v>
      </c>
      <c r="G68" s="6"/>
      <c r="H68" s="28" t="s">
        <v>18</v>
      </c>
      <c r="I68" s="6"/>
      <c r="J68" s="6"/>
      <c r="K68" s="6"/>
      <c r="L68" s="17">
        <f ca="1">(L$1-D68)/365</f>
        <v>59.194520547945203</v>
      </c>
    </row>
    <row r="69" spans="1:12" ht="24" customHeight="1">
      <c r="A69" s="5">
        <v>67</v>
      </c>
      <c r="B69" s="15" t="s">
        <v>28</v>
      </c>
      <c r="C69" s="15" t="s">
        <v>190</v>
      </c>
      <c r="D69" s="16">
        <v>30364</v>
      </c>
      <c r="E69" s="30" t="s">
        <v>12</v>
      </c>
      <c r="F69" s="15" t="s">
        <v>12</v>
      </c>
      <c r="G69" s="15" t="s">
        <v>12</v>
      </c>
      <c r="H69" s="30" t="s">
        <v>12</v>
      </c>
      <c r="I69" s="15" t="s">
        <v>29</v>
      </c>
      <c r="J69" s="6"/>
      <c r="K69" s="15" t="s">
        <v>30</v>
      </c>
      <c r="L69" s="17">
        <f ca="1">(L$1-D69)/365</f>
        <v>43.060273972602737</v>
      </c>
    </row>
    <row r="70" spans="1:12" ht="24" customHeight="1">
      <c r="A70" s="5">
        <v>68</v>
      </c>
      <c r="B70" s="15" t="s">
        <v>78</v>
      </c>
      <c r="C70" s="15" t="s">
        <v>79</v>
      </c>
      <c r="D70" s="6"/>
      <c r="E70" s="28" t="s">
        <v>18</v>
      </c>
      <c r="F70" s="15" t="s">
        <v>12</v>
      </c>
      <c r="G70" s="101" t="s">
        <v>70</v>
      </c>
      <c r="H70" s="28" t="s">
        <v>18</v>
      </c>
      <c r="I70" s="6"/>
      <c r="J70" s="15" t="s">
        <v>18</v>
      </c>
      <c r="K70" s="6"/>
      <c r="L70" s="17"/>
    </row>
    <row r="71" spans="1:12" ht="24" customHeight="1">
      <c r="A71" s="5">
        <v>69</v>
      </c>
      <c r="B71" s="15" t="s">
        <v>376</v>
      </c>
      <c r="C71" s="15" t="s">
        <v>377</v>
      </c>
      <c r="D71" s="16">
        <v>34053</v>
      </c>
      <c r="E71" s="30" t="s">
        <v>12</v>
      </c>
      <c r="F71" s="30" t="s">
        <v>12</v>
      </c>
      <c r="G71" s="6"/>
      <c r="H71" s="28" t="s">
        <v>18</v>
      </c>
      <c r="I71" s="15"/>
      <c r="J71" s="34" t="s">
        <v>12</v>
      </c>
      <c r="K71" s="19" t="s">
        <v>378</v>
      </c>
      <c r="L71" s="17">
        <f ca="1">(L$1-D71)/365</f>
        <v>32.953424657534249</v>
      </c>
    </row>
    <row r="72" spans="1:12" ht="24" customHeight="1">
      <c r="A72" s="5">
        <v>70</v>
      </c>
      <c r="B72" s="15" t="s">
        <v>128</v>
      </c>
      <c r="C72" s="15" t="s">
        <v>129</v>
      </c>
      <c r="D72" s="16">
        <v>36955</v>
      </c>
      <c r="E72" s="30" t="s">
        <v>12</v>
      </c>
      <c r="F72" s="15" t="s">
        <v>12</v>
      </c>
      <c r="G72" s="6"/>
      <c r="H72" s="30" t="s">
        <v>12</v>
      </c>
      <c r="I72" s="15" t="s">
        <v>51</v>
      </c>
      <c r="J72" s="6"/>
      <c r="K72" s="6"/>
      <c r="L72" s="17">
        <f ca="1">(L$1-D72)/365</f>
        <v>25.002739726027396</v>
      </c>
    </row>
    <row r="73" spans="1:12" ht="24" customHeight="1">
      <c r="A73" s="5">
        <v>71</v>
      </c>
      <c r="B73" s="15" t="s">
        <v>103</v>
      </c>
      <c r="C73" s="15" t="s">
        <v>104</v>
      </c>
      <c r="D73" s="16">
        <v>22553</v>
      </c>
      <c r="E73" s="30" t="s">
        <v>12</v>
      </c>
      <c r="F73" s="15" t="s">
        <v>12</v>
      </c>
      <c r="G73" s="6"/>
      <c r="H73" s="28" t="s">
        <v>18</v>
      </c>
      <c r="I73" s="6"/>
      <c r="J73" s="30" t="s">
        <v>12</v>
      </c>
      <c r="K73" s="15" t="s">
        <v>55</v>
      </c>
      <c r="L73" s="17">
        <f ca="1">(L$1-D73)/365</f>
        <v>64.460273972602735</v>
      </c>
    </row>
    <row r="74" spans="1:12" ht="24" customHeight="1">
      <c r="A74" s="5">
        <v>72</v>
      </c>
      <c r="B74" s="18" t="s">
        <v>59</v>
      </c>
      <c r="C74" s="15" t="s">
        <v>213</v>
      </c>
      <c r="D74" s="16">
        <v>31620</v>
      </c>
      <c r="E74" s="30" t="s">
        <v>12</v>
      </c>
      <c r="F74" s="15" t="s">
        <v>12</v>
      </c>
      <c r="G74" s="6"/>
      <c r="H74" s="30" t="s">
        <v>12</v>
      </c>
      <c r="I74" s="15" t="s">
        <v>239</v>
      </c>
      <c r="J74" s="6"/>
      <c r="K74" s="6"/>
      <c r="L74" s="17">
        <f ca="1">(L$1-D74)/365</f>
        <v>39.61917808219178</v>
      </c>
    </row>
    <row r="75" spans="1:12" ht="24" customHeight="1">
      <c r="A75" s="5">
        <v>73</v>
      </c>
      <c r="B75" s="20" t="s">
        <v>382</v>
      </c>
      <c r="C75" s="20" t="s">
        <v>383</v>
      </c>
      <c r="D75" s="21">
        <v>26540</v>
      </c>
      <c r="E75" s="29" t="s">
        <v>18</v>
      </c>
      <c r="F75" s="20" t="s">
        <v>12</v>
      </c>
      <c r="G75" s="10" t="s">
        <v>12</v>
      </c>
      <c r="H75" s="29" t="s">
        <v>18</v>
      </c>
      <c r="I75" s="20"/>
      <c r="J75" s="36" t="s">
        <v>12</v>
      </c>
      <c r="K75" s="20" t="s">
        <v>384</v>
      </c>
      <c r="L75" s="104">
        <f ca="1">(L$1-D75)/365</f>
        <v>53.536986301369865</v>
      </c>
    </row>
    <row r="76" spans="1:12" ht="24" customHeight="1">
      <c r="A76" s="5">
        <v>74</v>
      </c>
      <c r="B76" s="20" t="s">
        <v>275</v>
      </c>
      <c r="C76" s="20" t="s">
        <v>372</v>
      </c>
      <c r="D76" s="21">
        <v>31079</v>
      </c>
      <c r="E76" s="29" t="s">
        <v>18</v>
      </c>
      <c r="F76" s="20" t="s">
        <v>12</v>
      </c>
      <c r="G76" s="10" t="s">
        <v>12</v>
      </c>
      <c r="H76" s="29" t="s">
        <v>18</v>
      </c>
      <c r="I76" s="20"/>
      <c r="J76" s="36" t="s">
        <v>12</v>
      </c>
      <c r="K76" s="20" t="s">
        <v>276</v>
      </c>
      <c r="L76" s="104">
        <f ca="1">(L$1-D76)/365</f>
        <v>41.101369863013701</v>
      </c>
    </row>
    <row r="77" spans="1:12" ht="24" customHeight="1">
      <c r="A77" s="5">
        <v>75</v>
      </c>
      <c r="B77" s="15" t="s">
        <v>54</v>
      </c>
      <c r="C77" s="15" t="s">
        <v>191</v>
      </c>
      <c r="D77" s="16">
        <v>37405</v>
      </c>
      <c r="E77" s="30" t="s">
        <v>12</v>
      </c>
      <c r="F77" s="15" t="s">
        <v>12</v>
      </c>
      <c r="G77" s="6"/>
      <c r="H77" s="30" t="s">
        <v>12</v>
      </c>
      <c r="I77" s="15" t="s">
        <v>347</v>
      </c>
      <c r="J77" s="6"/>
      <c r="K77" s="15" t="s">
        <v>55</v>
      </c>
      <c r="L77" s="17">
        <f ca="1">(L$1-D77)/365</f>
        <v>23.769863013698629</v>
      </c>
    </row>
    <row r="78" spans="1:12" ht="24" customHeight="1" thickBot="1">
      <c r="A78" s="7">
        <v>76</v>
      </c>
      <c r="B78" s="24" t="s">
        <v>14</v>
      </c>
      <c r="C78" s="24" t="s">
        <v>185</v>
      </c>
      <c r="D78" s="25">
        <v>34514</v>
      </c>
      <c r="E78" s="100" t="s">
        <v>12</v>
      </c>
      <c r="F78" s="24" t="s">
        <v>12</v>
      </c>
      <c r="G78" s="8"/>
      <c r="H78" s="100" t="s">
        <v>12</v>
      </c>
      <c r="I78" s="24" t="s">
        <v>15</v>
      </c>
      <c r="J78" s="24" t="s">
        <v>12</v>
      </c>
      <c r="K78" s="24" t="s">
        <v>16</v>
      </c>
      <c r="L78" s="26">
        <f ca="1">(L$1-D78)/365</f>
        <v>31.69041095890411</v>
      </c>
    </row>
  </sheetData>
  <autoFilter ref="A2:L78" xr:uid="{A0691D1B-64AA-45A0-824E-9C1CF7BE5979}">
    <sortState xmlns:xlrd2="http://schemas.microsoft.com/office/spreadsheetml/2017/richdata2" ref="A3:L78">
      <sortCondition ref="B3:B78"/>
    </sortState>
  </autoFilter>
  <sortState xmlns:xlrd2="http://schemas.microsoft.com/office/spreadsheetml/2017/richdata2" ref="B3:L78">
    <sortCondition ref="B3:B78"/>
  </sortState>
  <pageMargins left="0.28000000000000003" right="0.15" top="0.14000000000000001" bottom="0.13" header="0.19" footer="0.1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Membros</vt:lpstr>
      <vt:lpstr>GRÁFICO</vt:lpstr>
      <vt:lpstr>Mulheres</vt:lpstr>
      <vt:lpstr>GRÁFICO!Area_de_impressao</vt:lpstr>
      <vt:lpstr>Membros!Area_de_impressao</vt:lpstr>
      <vt:lpstr>Mulheres!Area_de_impressao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Queiroga</dc:creator>
  <cp:lastModifiedBy>Cleber Queiroga</cp:lastModifiedBy>
  <cp:lastPrinted>2025-10-04T14:39:16Z</cp:lastPrinted>
  <dcterms:created xsi:type="dcterms:W3CDTF">2025-09-22T20:26:43Z</dcterms:created>
  <dcterms:modified xsi:type="dcterms:W3CDTF">2026-03-01T01:18:06Z</dcterms:modified>
</cp:coreProperties>
</file>